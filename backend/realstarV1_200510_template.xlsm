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bio\Desktop\"/>
    </mc:Choice>
  </mc:AlternateContent>
  <bookViews>
    <workbookView xWindow="0" yWindow="0" windowWidth="28800" windowHeight="12300" tabRatio="845" activeTab="6"/>
  </bookViews>
  <sheets>
    <sheet name="Layout piastra" sheetId="11" r:id="rId1"/>
    <sheet name="Curve FAM" sheetId="19" r:id="rId2"/>
    <sheet name="Curve HEX" sheetId="20" r:id="rId3"/>
    <sheet name="Curve Cy5" sheetId="18" r:id="rId4"/>
    <sheet name="Risultato Biorad" sheetId="12" r:id="rId5"/>
    <sheet name="Controllo input" sheetId="14" r:id="rId6"/>
    <sheet name="Valutazione" sheetId="21" r:id="rId7"/>
    <sheet name="elaboration" sheetId="22" state="hidden" r:id="rId8"/>
    <sheet name="plotting" sheetId="26" r:id="rId9"/>
    <sheet name="analysis" sheetId="24" state="hidden" r:id="rId10"/>
    <sheet name="parameters" sheetId="25" state="hidden" r:id="rId11"/>
    <sheet name="Controllo output" sheetId="27" r:id="rId12"/>
    <sheet name="Campioni da ripetere" sheetId="17" r:id="rId13"/>
    <sheet name="Refertazione" sheetId="13" r:id="rId14"/>
    <sheet name="Per Ministero" sheetId="7" r:id="rId15"/>
    <sheet name="Legenda" sheetId="3" state="hidden" r:id="rId16"/>
  </sheets>
  <functionGroups builtInGroupCount="18"/>
  <definedNames>
    <definedName name="_xlnm._FilterDatabase" localSheetId="15" hidden="1">Legenda!$B$4:$F$14</definedName>
    <definedName name="analysis_final_check">'Controllo output'!$A$10</definedName>
    <definedName name="analysis_table_alias">analysis_table[#All]</definedName>
    <definedName name="analysis_table_by_barcode">analysis_table[[#All],[barcode]:[final_control_result]]</definedName>
    <definedName name="analysis_table_by_well_with_zero">analysis_table[[#All],[well_with_zero]:[final_control_result]]</definedName>
    <definedName name="auto_result">Valutazione!$I$3:$U$11</definedName>
    <definedName name="auto_to_user_result_map">parameters!$AC$2:$AD$18</definedName>
    <definedName name="auto_user_to_final_control">parameters!$BF$2:$BH$4</definedName>
    <definedName name="auto_user_to_final_map">parameters!$AG$2:$AI$20</definedName>
    <definedName name="column_to_batch">parameters!$BB$2:$BC$13</definedName>
    <definedName name="control_well_results">parameters!$M$2:$N$4</definedName>
    <definedName name="control_wells">parameters!$E$2:$F$6</definedName>
    <definedName name="exam_result_to_message">parameters!$AT$2:$AU$10</definedName>
    <definedName name="final_result">Valutazione!$I$16:$U$24</definedName>
    <definedName name="final_to_ministry_result">parameters!$AX$2:$AY$4</definedName>
    <definedName name="fluorophore_checks">elaboration!$A$26:$B$27</definedName>
    <definedName name="fluorophore_thresholds">parameters!$A$2:$B$4</definedName>
    <definedName name="fluorophore_values">elaboration!$A$14:$B$16</definedName>
    <definedName name="is_result_to_send">parameters!$AP$2:$AQ$4</definedName>
    <definedName name="result_symbols">parameters!$U$2:$V$9</definedName>
    <definedName name="result_symbols_auto">parameters!$Q$2:$R$6</definedName>
    <definedName name="risultati_referto_mappa">parameters!$Y$3:$Z$6</definedName>
    <definedName name="risultati_referto_valori">parameters!$Z$2:$Z$6</definedName>
    <definedName name="test_auto_results">parameters!$I$2:$J$9</definedName>
    <definedName name="user_selected_well">elaboration!$B$6</definedName>
    <definedName name="user_selected_well_pos">elaboration!$B$2</definedName>
    <definedName name="user_to_exam_result_prefix">parameters!$AL$2:$AM$8</definedName>
    <definedName name="well_all_names">analysis!$A$2:$A$97</definedName>
  </definedNames>
  <calcPr calcId="162913"/>
</workbook>
</file>

<file path=xl/calcChain.xml><?xml version="1.0" encoding="utf-8"?>
<calcChain xmlns="http://schemas.openxmlformats.org/spreadsheetml/2006/main">
  <c r="O4" i="26" l="1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3" i="26"/>
  <c r="N4" i="26"/>
  <c r="N5" i="26"/>
  <c r="N6" i="26"/>
  <c r="N7" i="26"/>
  <c r="N8" i="26"/>
  <c r="N9" i="26"/>
  <c r="N10" i="26"/>
  <c r="N11" i="26"/>
  <c r="N12" i="26"/>
  <c r="N13" i="26"/>
  <c r="N14" i="26"/>
  <c r="N15" i="26"/>
  <c r="N16" i="26"/>
  <c r="N17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3" i="26"/>
  <c r="M4" i="26"/>
  <c r="M5" i="26"/>
  <c r="M6" i="26"/>
  <c r="M7" i="26"/>
  <c r="M8" i="26"/>
  <c r="M9" i="26"/>
  <c r="M10" i="26"/>
  <c r="M11" i="26"/>
  <c r="M12" i="26"/>
  <c r="M13" i="26"/>
  <c r="M14" i="26"/>
  <c r="M15" i="26"/>
  <c r="M16" i="26"/>
  <c r="M17" i="26"/>
  <c r="M18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7" i="26"/>
  <c r="M3" i="26"/>
  <c r="F12" i="14" l="1" a="1"/>
  <c r="F12" i="14"/>
  <c r="F13" i="14" l="1"/>
  <c r="F10" i="14" a="1"/>
  <c r="F10" i="14"/>
  <c r="F11" i="14" a="1"/>
  <c r="F11" i="14" s="1"/>
  <c r="C2" i="24" l="1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F16" i="27" l="1"/>
  <c r="E2" i="24" l="1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F6" i="14" a="1"/>
  <c r="F6" i="14" s="1"/>
  <c r="D25" i="24"/>
  <c r="D22" i="24"/>
  <c r="D65" i="24"/>
  <c r="D80" i="24"/>
  <c r="D68" i="24"/>
  <c r="D94" i="24"/>
  <c r="D77" i="24"/>
  <c r="D3" i="24"/>
  <c r="D56" i="24"/>
  <c r="D29" i="24"/>
  <c r="D28" i="24"/>
  <c r="D75" i="24"/>
  <c r="D39" i="24"/>
  <c r="D35" i="24"/>
  <c r="D47" i="24"/>
  <c r="D16" i="24"/>
  <c r="D50" i="24"/>
  <c r="D58" i="24"/>
  <c r="D14" i="24"/>
  <c r="D87" i="24"/>
  <c r="D53" i="24"/>
  <c r="D6" i="24"/>
  <c r="D9" i="24"/>
  <c r="D38" i="24"/>
  <c r="D88" i="24"/>
  <c r="D8" i="24"/>
  <c r="D66" i="24"/>
  <c r="D19" i="24"/>
  <c r="D70" i="24"/>
  <c r="D37" i="24"/>
  <c r="D83" i="24"/>
  <c r="D20" i="24"/>
  <c r="D7" i="24"/>
  <c r="D54" i="24"/>
  <c r="D33" i="24"/>
  <c r="D72" i="24"/>
  <c r="D81" i="24"/>
  <c r="D45" i="24"/>
  <c r="D55" i="24"/>
  <c r="D4" i="24"/>
  <c r="D13" i="24"/>
  <c r="D17" i="24"/>
  <c r="D61" i="24"/>
  <c r="D52" i="24"/>
  <c r="D5" i="24"/>
  <c r="D23" i="24"/>
  <c r="D46" i="24"/>
  <c r="D21" i="24"/>
  <c r="D71" i="24"/>
  <c r="D78" i="24"/>
  <c r="D51" i="24"/>
  <c r="D32" i="24"/>
  <c r="D15" i="24"/>
  <c r="D86" i="24"/>
  <c r="D11" i="24"/>
  <c r="D36" i="24"/>
  <c r="D85" i="24"/>
  <c r="D63" i="24"/>
  <c r="D41" i="24"/>
  <c r="D91" i="24"/>
  <c r="D10" i="24"/>
  <c r="D93" i="24"/>
  <c r="D90" i="24"/>
  <c r="D69" i="24"/>
  <c r="D40" i="24"/>
  <c r="D59" i="24"/>
  <c r="D76" i="24"/>
  <c r="D57" i="24"/>
  <c r="D73" i="24"/>
  <c r="D92" i="24"/>
  <c r="D18" i="24"/>
  <c r="D48" i="24"/>
  <c r="D64" i="24"/>
  <c r="D84" i="24"/>
  <c r="D67" i="24"/>
  <c r="D26" i="24"/>
  <c r="D97" i="24"/>
  <c r="D62" i="24"/>
  <c r="D12" i="24"/>
  <c r="D49" i="24"/>
  <c r="D30" i="24"/>
  <c r="D43" i="24"/>
  <c r="D44" i="24"/>
  <c r="D34" i="24"/>
  <c r="D95" i="24"/>
  <c r="D79" i="24"/>
  <c r="D74" i="24"/>
  <c r="D31" i="24"/>
  <c r="D82" i="24"/>
  <c r="D42" i="24"/>
  <c r="D27" i="24"/>
  <c r="D89" i="24"/>
  <c r="D60" i="24"/>
  <c r="D24" i="24"/>
  <c r="D96" i="24"/>
  <c r="D2" i="24"/>
  <c r="O2" i="26" l="1"/>
  <c r="N2" i="26"/>
  <c r="M2" i="26"/>
  <c r="F14" i="27" l="1"/>
  <c r="F15" i="27" l="1"/>
  <c r="F13" i="27"/>
  <c r="F12" i="27"/>
  <c r="F11" i="27"/>
  <c r="F10" i="27"/>
  <c r="F9" i="27"/>
  <c r="AQ4" i="25"/>
  <c r="AQ3" i="25"/>
  <c r="AQ2" i="25"/>
  <c r="P97" i="24"/>
  <c r="K97" i="24"/>
  <c r="J97" i="24"/>
  <c r="B97" i="24"/>
  <c r="H97" i="24" s="1" a="1"/>
  <c r="H97" i="24" s="1"/>
  <c r="P96" i="24"/>
  <c r="K96" i="24"/>
  <c r="J96" i="24"/>
  <c r="B96" i="24"/>
  <c r="H96" i="24" s="1" a="1"/>
  <c r="H96" i="24" s="1"/>
  <c r="P95" i="24"/>
  <c r="K95" i="24"/>
  <c r="J95" i="24"/>
  <c r="B95" i="24"/>
  <c r="H95" i="24" s="1" a="1"/>
  <c r="H95" i="24" s="1"/>
  <c r="P94" i="24"/>
  <c r="K94" i="24"/>
  <c r="J94" i="24"/>
  <c r="B94" i="24"/>
  <c r="H94" i="24" s="1" a="1"/>
  <c r="H94" i="24" s="1"/>
  <c r="P93" i="24"/>
  <c r="K93" i="24"/>
  <c r="J93" i="24"/>
  <c r="B93" i="24"/>
  <c r="H93" i="24" s="1" a="1"/>
  <c r="H93" i="24" s="1"/>
  <c r="P92" i="24"/>
  <c r="K92" i="24"/>
  <c r="J92" i="24"/>
  <c r="B92" i="24"/>
  <c r="H92" i="24" s="1" a="1"/>
  <c r="H92" i="24" s="1"/>
  <c r="P91" i="24"/>
  <c r="K91" i="24"/>
  <c r="J91" i="24"/>
  <c r="B91" i="24"/>
  <c r="H91" i="24" s="1" a="1"/>
  <c r="H91" i="24" s="1"/>
  <c r="P90" i="24"/>
  <c r="K90" i="24"/>
  <c r="J90" i="24"/>
  <c r="B90" i="24"/>
  <c r="H90" i="24" s="1" a="1"/>
  <c r="H90" i="24" s="1"/>
  <c r="P89" i="24"/>
  <c r="K89" i="24"/>
  <c r="J89" i="24"/>
  <c r="B89" i="24"/>
  <c r="H89" i="24" s="1" a="1"/>
  <c r="H89" i="24" s="1"/>
  <c r="P88" i="24"/>
  <c r="K88" i="24"/>
  <c r="J88" i="24"/>
  <c r="B88" i="24"/>
  <c r="H88" i="24" s="1" a="1"/>
  <c r="H88" i="24" s="1"/>
  <c r="P87" i="24"/>
  <c r="K87" i="24"/>
  <c r="J87" i="24"/>
  <c r="B87" i="24"/>
  <c r="H87" i="24" s="1" a="1"/>
  <c r="H87" i="24" s="1"/>
  <c r="P86" i="24"/>
  <c r="K86" i="24"/>
  <c r="J86" i="24"/>
  <c r="B86" i="24"/>
  <c r="H86" i="24" s="1" a="1"/>
  <c r="H86" i="24" s="1"/>
  <c r="P85" i="24"/>
  <c r="K85" i="24"/>
  <c r="J85" i="24"/>
  <c r="B85" i="24"/>
  <c r="H85" i="24" s="1" a="1"/>
  <c r="H85" i="24" s="1"/>
  <c r="P84" i="24"/>
  <c r="K84" i="24"/>
  <c r="J84" i="24"/>
  <c r="B84" i="24"/>
  <c r="H84" i="24" s="1" a="1"/>
  <c r="H84" i="24" s="1"/>
  <c r="P83" i="24"/>
  <c r="K83" i="24"/>
  <c r="J83" i="24"/>
  <c r="B83" i="24"/>
  <c r="H83" i="24" s="1" a="1"/>
  <c r="H83" i="24" s="1"/>
  <c r="P82" i="24"/>
  <c r="K82" i="24"/>
  <c r="J82" i="24"/>
  <c r="B82" i="24"/>
  <c r="H82" i="24" s="1" a="1"/>
  <c r="H82" i="24" s="1"/>
  <c r="P81" i="24"/>
  <c r="K81" i="24"/>
  <c r="J81" i="24"/>
  <c r="B81" i="24"/>
  <c r="H81" i="24" s="1" a="1"/>
  <c r="H81" i="24" s="1"/>
  <c r="P80" i="24"/>
  <c r="K80" i="24"/>
  <c r="J80" i="24"/>
  <c r="B80" i="24"/>
  <c r="H80" i="24" s="1" a="1"/>
  <c r="H80" i="24" s="1"/>
  <c r="P79" i="24"/>
  <c r="Q79" i="24" s="1"/>
  <c r="K79" i="24"/>
  <c r="J79" i="24"/>
  <c r="B79" i="24"/>
  <c r="H79" i="24" s="1" a="1"/>
  <c r="H79" i="24" s="1"/>
  <c r="P78" i="24"/>
  <c r="K78" i="24"/>
  <c r="J78" i="24"/>
  <c r="B78" i="24"/>
  <c r="H78" i="24" s="1" a="1"/>
  <c r="H78" i="24" s="1"/>
  <c r="P77" i="24"/>
  <c r="K77" i="24"/>
  <c r="J77" i="24"/>
  <c r="B77" i="24"/>
  <c r="H77" i="24" s="1" a="1"/>
  <c r="H77" i="24" s="1"/>
  <c r="P76" i="24"/>
  <c r="K76" i="24"/>
  <c r="J76" i="24"/>
  <c r="B76" i="24"/>
  <c r="H76" i="24" s="1" a="1"/>
  <c r="H76" i="24" s="1"/>
  <c r="P75" i="24"/>
  <c r="K75" i="24"/>
  <c r="J75" i="24"/>
  <c r="B75" i="24"/>
  <c r="H75" i="24" s="1" a="1"/>
  <c r="H75" i="24" s="1"/>
  <c r="P74" i="24"/>
  <c r="K74" i="24"/>
  <c r="J74" i="24"/>
  <c r="B74" i="24"/>
  <c r="H74" i="24" s="1" a="1"/>
  <c r="H74" i="24" s="1"/>
  <c r="P73" i="24"/>
  <c r="K73" i="24"/>
  <c r="J73" i="24"/>
  <c r="B73" i="24"/>
  <c r="H73" i="24" s="1" a="1"/>
  <c r="H73" i="24" s="1"/>
  <c r="P72" i="24"/>
  <c r="K72" i="24"/>
  <c r="J72" i="24"/>
  <c r="B72" i="24"/>
  <c r="H72" i="24" s="1" a="1"/>
  <c r="H72" i="24" s="1"/>
  <c r="P71" i="24"/>
  <c r="K71" i="24"/>
  <c r="J71" i="24"/>
  <c r="B71" i="24"/>
  <c r="H71" i="24" s="1" a="1"/>
  <c r="H71" i="24" s="1"/>
  <c r="P70" i="24"/>
  <c r="K70" i="24"/>
  <c r="J70" i="24"/>
  <c r="B70" i="24"/>
  <c r="H70" i="24" s="1" a="1"/>
  <c r="H70" i="24" s="1"/>
  <c r="P69" i="24"/>
  <c r="K69" i="24"/>
  <c r="J69" i="24"/>
  <c r="B69" i="24"/>
  <c r="H69" i="24" s="1" a="1"/>
  <c r="H69" i="24" s="1"/>
  <c r="P68" i="24"/>
  <c r="Q68" i="24" s="1"/>
  <c r="K68" i="24"/>
  <c r="J68" i="24"/>
  <c r="B68" i="24"/>
  <c r="H68" i="24" s="1" a="1"/>
  <c r="H68" i="24" s="1"/>
  <c r="P67" i="24"/>
  <c r="K67" i="24"/>
  <c r="J67" i="24"/>
  <c r="B67" i="24"/>
  <c r="H67" i="24" s="1" a="1"/>
  <c r="H67" i="24" s="1"/>
  <c r="P66" i="24"/>
  <c r="K66" i="24"/>
  <c r="J66" i="24"/>
  <c r="B66" i="24"/>
  <c r="H66" i="24" s="1" a="1"/>
  <c r="H66" i="24" s="1"/>
  <c r="P65" i="24"/>
  <c r="K65" i="24"/>
  <c r="J65" i="24"/>
  <c r="B65" i="24"/>
  <c r="H65" i="24" s="1" a="1"/>
  <c r="H65" i="24" s="1"/>
  <c r="P64" i="24"/>
  <c r="K64" i="24"/>
  <c r="J64" i="24"/>
  <c r="B64" i="24"/>
  <c r="H64" i="24" s="1" a="1"/>
  <c r="H64" i="24" s="1"/>
  <c r="P63" i="24"/>
  <c r="K63" i="24"/>
  <c r="J63" i="24"/>
  <c r="B63" i="24"/>
  <c r="H63" i="24" s="1" a="1"/>
  <c r="H63" i="24" s="1"/>
  <c r="P62" i="24"/>
  <c r="K62" i="24"/>
  <c r="J62" i="24"/>
  <c r="B62" i="24"/>
  <c r="H62" i="24" s="1" a="1"/>
  <c r="H62" i="24" s="1"/>
  <c r="P61" i="24"/>
  <c r="K61" i="24"/>
  <c r="J61" i="24"/>
  <c r="B61" i="24"/>
  <c r="H61" i="24" s="1" a="1"/>
  <c r="H61" i="24" s="1"/>
  <c r="P60" i="24"/>
  <c r="K60" i="24"/>
  <c r="J60" i="24"/>
  <c r="B60" i="24"/>
  <c r="H60" i="24" s="1" a="1"/>
  <c r="H60" i="24" s="1"/>
  <c r="P59" i="24"/>
  <c r="K59" i="24"/>
  <c r="J59" i="24"/>
  <c r="B59" i="24"/>
  <c r="H59" i="24" s="1" a="1"/>
  <c r="H59" i="24" s="1"/>
  <c r="P58" i="24"/>
  <c r="K58" i="24"/>
  <c r="J58" i="24"/>
  <c r="B58" i="24"/>
  <c r="H58" i="24" s="1" a="1"/>
  <c r="H58" i="24" s="1"/>
  <c r="P57" i="24"/>
  <c r="K57" i="24"/>
  <c r="J57" i="24"/>
  <c r="B57" i="24"/>
  <c r="H57" i="24" s="1" a="1"/>
  <c r="H57" i="24" s="1"/>
  <c r="P56" i="24"/>
  <c r="K56" i="24"/>
  <c r="J56" i="24"/>
  <c r="B56" i="24"/>
  <c r="H56" i="24" s="1" a="1"/>
  <c r="H56" i="24" s="1"/>
  <c r="P55" i="24"/>
  <c r="K55" i="24"/>
  <c r="J55" i="24"/>
  <c r="B55" i="24"/>
  <c r="H55" i="24" s="1" a="1"/>
  <c r="H55" i="24" s="1"/>
  <c r="P54" i="24"/>
  <c r="K54" i="24"/>
  <c r="J54" i="24"/>
  <c r="B54" i="24"/>
  <c r="H54" i="24" s="1" a="1"/>
  <c r="H54" i="24" s="1"/>
  <c r="P53" i="24"/>
  <c r="K53" i="24"/>
  <c r="J53" i="24"/>
  <c r="B53" i="24"/>
  <c r="H53" i="24" s="1" a="1"/>
  <c r="H53" i="24" s="1"/>
  <c r="P52" i="24"/>
  <c r="K52" i="24"/>
  <c r="J52" i="24"/>
  <c r="B52" i="24"/>
  <c r="H52" i="24" s="1" a="1"/>
  <c r="H52" i="24" s="1"/>
  <c r="P51" i="24"/>
  <c r="K51" i="24"/>
  <c r="J51" i="24"/>
  <c r="B51" i="24"/>
  <c r="H51" i="24" s="1" a="1"/>
  <c r="H51" i="24" s="1"/>
  <c r="P50" i="24"/>
  <c r="K50" i="24"/>
  <c r="J50" i="24"/>
  <c r="B50" i="24"/>
  <c r="H50" i="24" s="1" a="1"/>
  <c r="H50" i="24" s="1"/>
  <c r="P49" i="24"/>
  <c r="K49" i="24"/>
  <c r="J49" i="24"/>
  <c r="B49" i="24"/>
  <c r="H49" i="24" s="1" a="1"/>
  <c r="H49" i="24" s="1"/>
  <c r="P48" i="24"/>
  <c r="K48" i="24"/>
  <c r="J48" i="24"/>
  <c r="B48" i="24"/>
  <c r="H48" i="24" s="1" a="1"/>
  <c r="H48" i="24" s="1"/>
  <c r="P47" i="24"/>
  <c r="K47" i="24"/>
  <c r="J47" i="24"/>
  <c r="B47" i="24"/>
  <c r="H47" i="24" s="1" a="1"/>
  <c r="H47" i="24" s="1"/>
  <c r="P46" i="24"/>
  <c r="K46" i="24"/>
  <c r="J46" i="24"/>
  <c r="B46" i="24"/>
  <c r="H46" i="24" s="1" a="1"/>
  <c r="H46" i="24" s="1"/>
  <c r="P45" i="24"/>
  <c r="Q45" i="24" s="1"/>
  <c r="K45" i="24"/>
  <c r="J45" i="24"/>
  <c r="B45" i="24"/>
  <c r="H45" i="24" s="1" a="1"/>
  <c r="H45" i="24" s="1"/>
  <c r="P44" i="24"/>
  <c r="K44" i="24"/>
  <c r="J44" i="24"/>
  <c r="B44" i="24"/>
  <c r="P43" i="24"/>
  <c r="K43" i="24"/>
  <c r="J43" i="24"/>
  <c r="B43" i="24"/>
  <c r="H43" i="24" s="1" a="1"/>
  <c r="H43" i="24" s="1"/>
  <c r="P42" i="24"/>
  <c r="K42" i="24"/>
  <c r="J42" i="24"/>
  <c r="B42" i="24"/>
  <c r="H42" i="24" s="1" a="1"/>
  <c r="H42" i="24" s="1"/>
  <c r="P41" i="24"/>
  <c r="Q41" i="24" s="1"/>
  <c r="K41" i="24"/>
  <c r="J41" i="24"/>
  <c r="B41" i="24"/>
  <c r="H41" i="24" s="1" a="1"/>
  <c r="H41" i="24" s="1"/>
  <c r="P40" i="24"/>
  <c r="K40" i="24"/>
  <c r="J40" i="24"/>
  <c r="B40" i="24"/>
  <c r="H40" i="24" s="1" a="1"/>
  <c r="H40" i="24" s="1"/>
  <c r="P39" i="24"/>
  <c r="K39" i="24"/>
  <c r="J39" i="24"/>
  <c r="B39" i="24"/>
  <c r="H39" i="24" s="1" a="1"/>
  <c r="H39" i="24" s="1"/>
  <c r="P38" i="24"/>
  <c r="K38" i="24"/>
  <c r="J38" i="24"/>
  <c r="B38" i="24"/>
  <c r="H38" i="24" s="1" a="1"/>
  <c r="H38" i="24" s="1"/>
  <c r="P37" i="24"/>
  <c r="K37" i="24"/>
  <c r="J37" i="24"/>
  <c r="B37" i="24"/>
  <c r="H37" i="24" s="1" a="1"/>
  <c r="H37" i="24" s="1"/>
  <c r="P36" i="24"/>
  <c r="K36" i="24"/>
  <c r="J36" i="24"/>
  <c r="B36" i="24"/>
  <c r="H36" i="24" s="1" a="1"/>
  <c r="H36" i="24" s="1"/>
  <c r="P35" i="24"/>
  <c r="K35" i="24"/>
  <c r="J35" i="24"/>
  <c r="B35" i="24"/>
  <c r="H35" i="24" s="1" a="1"/>
  <c r="H35" i="24" s="1"/>
  <c r="P34" i="24"/>
  <c r="K34" i="24"/>
  <c r="J34" i="24"/>
  <c r="B34" i="24"/>
  <c r="H34" i="24" s="1" a="1"/>
  <c r="H34" i="24" s="1"/>
  <c r="P33" i="24"/>
  <c r="K33" i="24"/>
  <c r="J33" i="24"/>
  <c r="B33" i="24"/>
  <c r="H33" i="24" s="1" a="1"/>
  <c r="H33" i="24" s="1"/>
  <c r="P32" i="24"/>
  <c r="K32" i="24"/>
  <c r="J32" i="24"/>
  <c r="B32" i="24"/>
  <c r="H32" i="24" s="1" a="1"/>
  <c r="H32" i="24" s="1"/>
  <c r="P31" i="24"/>
  <c r="K31" i="24"/>
  <c r="J31" i="24"/>
  <c r="B31" i="24"/>
  <c r="H31" i="24" s="1" a="1"/>
  <c r="H31" i="24" s="1"/>
  <c r="P30" i="24"/>
  <c r="K30" i="24"/>
  <c r="J30" i="24"/>
  <c r="B30" i="24"/>
  <c r="H30" i="24" s="1" a="1"/>
  <c r="H30" i="24" s="1"/>
  <c r="P29" i="24"/>
  <c r="K29" i="24"/>
  <c r="J29" i="24"/>
  <c r="B29" i="24"/>
  <c r="H29" i="24" s="1" a="1"/>
  <c r="H29" i="24" s="1"/>
  <c r="P28" i="24"/>
  <c r="K28" i="24"/>
  <c r="J28" i="24"/>
  <c r="B28" i="24"/>
  <c r="H28" i="24" s="1" a="1"/>
  <c r="H28" i="24" s="1"/>
  <c r="P27" i="24"/>
  <c r="K27" i="24"/>
  <c r="J27" i="24"/>
  <c r="B27" i="24"/>
  <c r="H27" i="24" s="1" a="1"/>
  <c r="H27" i="24" s="1"/>
  <c r="P26" i="24"/>
  <c r="K26" i="24"/>
  <c r="J26" i="24"/>
  <c r="B26" i="24"/>
  <c r="H26" i="24" s="1" a="1"/>
  <c r="H26" i="24" s="1"/>
  <c r="P25" i="24"/>
  <c r="K25" i="24"/>
  <c r="J25" i="24"/>
  <c r="B25" i="24"/>
  <c r="H25" i="24" s="1" a="1"/>
  <c r="H25" i="24" s="1"/>
  <c r="P24" i="24"/>
  <c r="K24" i="24"/>
  <c r="J24" i="24"/>
  <c r="B24" i="24"/>
  <c r="H24" i="24" s="1" a="1"/>
  <c r="H24" i="24" s="1"/>
  <c r="P23" i="24"/>
  <c r="K23" i="24"/>
  <c r="J23" i="24"/>
  <c r="B23" i="24"/>
  <c r="H23" i="24" s="1" a="1"/>
  <c r="H23" i="24" s="1"/>
  <c r="P22" i="24"/>
  <c r="K22" i="24"/>
  <c r="J22" i="24"/>
  <c r="B22" i="24"/>
  <c r="H22" i="24" s="1" a="1"/>
  <c r="H22" i="24" s="1"/>
  <c r="P21" i="24"/>
  <c r="K21" i="24"/>
  <c r="J21" i="24"/>
  <c r="B21" i="24"/>
  <c r="H21" i="24" s="1" a="1"/>
  <c r="H21" i="24" s="1"/>
  <c r="P20" i="24"/>
  <c r="K20" i="24"/>
  <c r="J20" i="24"/>
  <c r="B20" i="24"/>
  <c r="H20" i="24" s="1" a="1"/>
  <c r="H20" i="24" s="1"/>
  <c r="P19" i="24"/>
  <c r="K19" i="24"/>
  <c r="J19" i="24"/>
  <c r="B19" i="24"/>
  <c r="H19" i="24" s="1" a="1"/>
  <c r="H19" i="24" s="1"/>
  <c r="P18" i="24"/>
  <c r="K18" i="24"/>
  <c r="J18" i="24"/>
  <c r="B18" i="24"/>
  <c r="H18" i="24" s="1" a="1"/>
  <c r="H18" i="24" s="1"/>
  <c r="P17" i="24"/>
  <c r="K17" i="24"/>
  <c r="J17" i="24"/>
  <c r="B17" i="24"/>
  <c r="H17" i="24" s="1" a="1"/>
  <c r="H17" i="24" s="1"/>
  <c r="P16" i="24"/>
  <c r="K16" i="24"/>
  <c r="J16" i="24"/>
  <c r="B16" i="24"/>
  <c r="H16" i="24" s="1" a="1"/>
  <c r="H16" i="24" s="1"/>
  <c r="P15" i="24"/>
  <c r="K15" i="24"/>
  <c r="J15" i="24"/>
  <c r="B15" i="24"/>
  <c r="H15" i="24" s="1" a="1"/>
  <c r="H15" i="24" s="1"/>
  <c r="P14" i="24"/>
  <c r="K14" i="24"/>
  <c r="J14" i="24"/>
  <c r="B14" i="24"/>
  <c r="H14" i="24" s="1" a="1"/>
  <c r="H14" i="24" s="1"/>
  <c r="P13" i="24"/>
  <c r="Q13" i="24" s="1"/>
  <c r="K13" i="24"/>
  <c r="J13" i="24"/>
  <c r="B13" i="24"/>
  <c r="H13" i="24" s="1" a="1"/>
  <c r="H13" i="24" s="1"/>
  <c r="P12" i="24"/>
  <c r="K12" i="24"/>
  <c r="J12" i="24"/>
  <c r="B12" i="24"/>
  <c r="H12" i="24" s="1" a="1"/>
  <c r="H12" i="24" s="1"/>
  <c r="P11" i="24"/>
  <c r="K11" i="24"/>
  <c r="J11" i="24"/>
  <c r="B11" i="24"/>
  <c r="H11" i="24" s="1" a="1"/>
  <c r="H11" i="24" s="1"/>
  <c r="P10" i="24"/>
  <c r="K10" i="24"/>
  <c r="J10" i="24"/>
  <c r="B10" i="24"/>
  <c r="H10" i="24" s="1" a="1"/>
  <c r="H10" i="24" s="1"/>
  <c r="P9" i="24"/>
  <c r="K9" i="24"/>
  <c r="J9" i="24"/>
  <c r="B9" i="24"/>
  <c r="H9" i="24" s="1" a="1"/>
  <c r="H9" i="24" s="1"/>
  <c r="P8" i="24"/>
  <c r="K8" i="24"/>
  <c r="J8" i="24"/>
  <c r="B8" i="24"/>
  <c r="H8" i="24" s="1" a="1"/>
  <c r="H8" i="24" s="1"/>
  <c r="P7" i="24"/>
  <c r="K7" i="24"/>
  <c r="J7" i="24"/>
  <c r="B7" i="24"/>
  <c r="H7" i="24" s="1" a="1"/>
  <c r="H7" i="24" s="1"/>
  <c r="P6" i="24"/>
  <c r="K6" i="24"/>
  <c r="J6" i="24"/>
  <c r="B6" i="24"/>
  <c r="H6" i="24" s="1" a="1"/>
  <c r="H6" i="24" s="1"/>
  <c r="P5" i="24"/>
  <c r="K5" i="24"/>
  <c r="J5" i="24"/>
  <c r="B5" i="24"/>
  <c r="H5" i="24" s="1" a="1"/>
  <c r="H5" i="24" s="1"/>
  <c r="P4" i="24"/>
  <c r="K4" i="24"/>
  <c r="J4" i="24"/>
  <c r="B4" i="24"/>
  <c r="H4" i="24" s="1" a="1"/>
  <c r="H4" i="24" s="1"/>
  <c r="P3" i="24"/>
  <c r="Q3" i="24" s="1"/>
  <c r="K3" i="24"/>
  <c r="J3" i="24"/>
  <c r="B3" i="24"/>
  <c r="H3" i="24" s="1" a="1"/>
  <c r="H3" i="24" s="1"/>
  <c r="P2" i="24"/>
  <c r="Q2" i="24" s="1"/>
  <c r="K2" i="24"/>
  <c r="J2" i="24"/>
  <c r="B2" i="24"/>
  <c r="B6" i="26"/>
  <c r="B5" i="26"/>
  <c r="L2" i="26"/>
  <c r="K2" i="26"/>
  <c r="J2" i="26"/>
  <c r="B30" i="22"/>
  <c r="B5" i="22"/>
  <c r="B3" i="22"/>
  <c r="B4" i="22" s="1"/>
  <c r="F17" i="14"/>
  <c r="B2" i="14"/>
  <c r="B9" i="14" s="1"/>
  <c r="A9" i="14" s="1"/>
  <c r="B6" i="22" l="1"/>
  <c r="F4" i="14"/>
  <c r="F5" i="14"/>
  <c r="B8" i="14"/>
  <c r="A8" i="14" s="1"/>
  <c r="A85" i="13"/>
  <c r="A11" i="13"/>
  <c r="A20" i="13"/>
  <c r="A67" i="13"/>
  <c r="A46" i="13"/>
  <c r="A13" i="13"/>
  <c r="A16" i="13"/>
  <c r="A15" i="13"/>
  <c r="A76" i="13"/>
  <c r="A87" i="13"/>
  <c r="A78" i="13"/>
  <c r="A91" i="13"/>
  <c r="A19" i="13"/>
  <c r="A22" i="13"/>
  <c r="A23" i="13"/>
  <c r="A71" i="13"/>
  <c r="A30" i="13"/>
  <c r="A43" i="13"/>
  <c r="A18" i="13"/>
  <c r="A48" i="13"/>
  <c r="A26" i="13"/>
  <c r="A84" i="13"/>
  <c r="A82" i="13"/>
  <c r="A88" i="13"/>
  <c r="A73" i="13"/>
  <c r="A69" i="13"/>
  <c r="A39" i="13"/>
  <c r="A51" i="13"/>
  <c r="A27" i="13"/>
  <c r="A60" i="13"/>
  <c r="A41" i="13"/>
  <c r="A31" i="13"/>
  <c r="A74" i="13"/>
  <c r="A29" i="13"/>
  <c r="A33" i="13"/>
  <c r="A32" i="13"/>
  <c r="A21" i="13"/>
  <c r="A17" i="13"/>
  <c r="A72" i="13"/>
  <c r="A70" i="13"/>
  <c r="A86" i="13"/>
  <c r="A61" i="13"/>
  <c r="A12" i="13"/>
  <c r="A77" i="13"/>
  <c r="A83" i="13"/>
  <c r="A28" i="13"/>
  <c r="A66" i="13"/>
  <c r="A59" i="13"/>
  <c r="A14" i="13"/>
  <c r="A63" i="13"/>
  <c r="A53" i="13"/>
  <c r="A52" i="13"/>
  <c r="A94" i="13"/>
  <c r="A2" i="13"/>
  <c r="A8" i="13"/>
  <c r="A4" i="13"/>
  <c r="A93" i="13"/>
  <c r="A38" i="13"/>
  <c r="A58" i="13"/>
  <c r="A65" i="13"/>
  <c r="A40" i="13"/>
  <c r="A37" i="13"/>
  <c r="A62" i="13"/>
  <c r="A56" i="13"/>
  <c r="A79" i="13"/>
  <c r="A92" i="13"/>
  <c r="A6" i="13"/>
  <c r="A5" i="13"/>
  <c r="A57" i="13"/>
  <c r="A24" i="13"/>
  <c r="A45" i="13"/>
  <c r="A47" i="13"/>
  <c r="A68" i="13"/>
  <c r="A25" i="13"/>
  <c r="A42" i="13"/>
  <c r="A50" i="13"/>
  <c r="A81" i="13"/>
  <c r="A89" i="13"/>
  <c r="A9" i="13"/>
  <c r="A10" i="13"/>
  <c r="A55" i="13"/>
  <c r="A35" i="13"/>
  <c r="A36" i="13"/>
  <c r="A44" i="13"/>
  <c r="A96" i="13"/>
  <c r="A54" i="13"/>
  <c r="A49" i="13"/>
  <c r="A75" i="13"/>
  <c r="A80" i="13"/>
  <c r="A90" i="13"/>
  <c r="A7" i="13"/>
  <c r="A3" i="13"/>
  <c r="A64" i="13"/>
  <c r="A34" i="13"/>
  <c r="A97" i="13"/>
  <c r="A95" i="13"/>
  <c r="G97" i="17"/>
  <c r="H97" i="17" s="1"/>
  <c r="F97" i="17"/>
  <c r="B97" i="17"/>
  <c r="C97" i="17" s="1"/>
  <c r="G96" i="17"/>
  <c r="H96" i="17" s="1"/>
  <c r="F96" i="17"/>
  <c r="B96" i="17"/>
  <c r="C96" i="17" s="1"/>
  <c r="G95" i="17"/>
  <c r="H95" i="17" s="1"/>
  <c r="F95" i="17"/>
  <c r="B95" i="17"/>
  <c r="C95" i="17" s="1"/>
  <c r="G94" i="17"/>
  <c r="H94" i="17" s="1"/>
  <c r="F94" i="17"/>
  <c r="B94" i="17"/>
  <c r="C94" i="17" s="1"/>
  <c r="G93" i="17"/>
  <c r="H93" i="17" s="1"/>
  <c r="F93" i="17"/>
  <c r="B93" i="17"/>
  <c r="C93" i="17" s="1"/>
  <c r="G92" i="17"/>
  <c r="H92" i="17" s="1"/>
  <c r="F92" i="17"/>
  <c r="B92" i="17"/>
  <c r="C92" i="17" s="1"/>
  <c r="G91" i="17"/>
  <c r="H91" i="17" s="1"/>
  <c r="F91" i="17"/>
  <c r="B91" i="17"/>
  <c r="C91" i="17" s="1"/>
  <c r="G90" i="17"/>
  <c r="H90" i="17" s="1"/>
  <c r="F90" i="17"/>
  <c r="B90" i="17"/>
  <c r="C90" i="17" s="1"/>
  <c r="G89" i="17"/>
  <c r="H89" i="17" s="1"/>
  <c r="F89" i="17"/>
  <c r="B89" i="17"/>
  <c r="C89" i="17" s="1"/>
  <c r="G88" i="17"/>
  <c r="H88" i="17" s="1"/>
  <c r="F88" i="17"/>
  <c r="B88" i="17"/>
  <c r="C88" i="17" s="1"/>
  <c r="G87" i="17"/>
  <c r="H87" i="17" s="1"/>
  <c r="F87" i="17"/>
  <c r="B87" i="17"/>
  <c r="C87" i="17" s="1"/>
  <c r="G86" i="17"/>
  <c r="H86" i="17" s="1"/>
  <c r="F86" i="17"/>
  <c r="B86" i="17"/>
  <c r="C86" i="17" s="1"/>
  <c r="G85" i="17"/>
  <c r="H85" i="17" s="1"/>
  <c r="F85" i="17"/>
  <c r="B85" i="17"/>
  <c r="C85" i="17" s="1"/>
  <c r="G84" i="17"/>
  <c r="H84" i="17" s="1"/>
  <c r="F84" i="17"/>
  <c r="B84" i="17"/>
  <c r="C84" i="17" s="1"/>
  <c r="G83" i="17"/>
  <c r="H83" i="17" s="1"/>
  <c r="F83" i="17"/>
  <c r="B83" i="17"/>
  <c r="C83" i="17" s="1"/>
  <c r="G82" i="17"/>
  <c r="H82" i="17" s="1"/>
  <c r="F82" i="17"/>
  <c r="B82" i="17"/>
  <c r="C82" i="17" s="1"/>
  <c r="G81" i="17"/>
  <c r="H81" i="17" s="1"/>
  <c r="F81" i="17"/>
  <c r="B81" i="17"/>
  <c r="C81" i="17" s="1"/>
  <c r="G80" i="17"/>
  <c r="H80" i="17" s="1"/>
  <c r="F80" i="17"/>
  <c r="B80" i="17"/>
  <c r="C80" i="17" s="1"/>
  <c r="G79" i="17"/>
  <c r="H79" i="17" s="1"/>
  <c r="F79" i="17"/>
  <c r="B79" i="17"/>
  <c r="C79" i="17" s="1"/>
  <c r="G78" i="17"/>
  <c r="H78" i="17" s="1"/>
  <c r="F78" i="17"/>
  <c r="B78" i="17"/>
  <c r="C78" i="17" s="1"/>
  <c r="G77" i="17"/>
  <c r="H77" i="17" s="1"/>
  <c r="F77" i="17"/>
  <c r="B77" i="17"/>
  <c r="C77" i="17" s="1"/>
  <c r="G76" i="17"/>
  <c r="H76" i="17" s="1"/>
  <c r="F76" i="17"/>
  <c r="B76" i="17"/>
  <c r="C76" i="17" s="1"/>
  <c r="G75" i="17"/>
  <c r="H75" i="17" s="1"/>
  <c r="F75" i="17"/>
  <c r="B75" i="17"/>
  <c r="C75" i="17" s="1"/>
  <c r="G74" i="17"/>
  <c r="H74" i="17" s="1"/>
  <c r="F74" i="17"/>
  <c r="B74" i="17"/>
  <c r="C74" i="17" s="1"/>
  <c r="G73" i="17"/>
  <c r="H73" i="17" s="1"/>
  <c r="F73" i="17"/>
  <c r="B73" i="17"/>
  <c r="C73" i="17" s="1"/>
  <c r="G72" i="17"/>
  <c r="H72" i="17" s="1"/>
  <c r="F72" i="17"/>
  <c r="B72" i="17"/>
  <c r="C72" i="17" s="1"/>
  <c r="G71" i="17"/>
  <c r="H71" i="17" s="1"/>
  <c r="F71" i="17"/>
  <c r="B71" i="17"/>
  <c r="C71" i="17" s="1"/>
  <c r="G70" i="17"/>
  <c r="H70" i="17" s="1"/>
  <c r="F70" i="17"/>
  <c r="B70" i="17"/>
  <c r="C70" i="17" s="1"/>
  <c r="G69" i="17"/>
  <c r="H69" i="17" s="1"/>
  <c r="F69" i="17"/>
  <c r="B69" i="17"/>
  <c r="C69" i="17" s="1"/>
  <c r="G68" i="17"/>
  <c r="H68" i="17" s="1"/>
  <c r="F68" i="17"/>
  <c r="B68" i="17"/>
  <c r="C68" i="17" s="1"/>
  <c r="G67" i="17"/>
  <c r="H67" i="17" s="1"/>
  <c r="F67" i="17"/>
  <c r="B67" i="17"/>
  <c r="C67" i="17" s="1"/>
  <c r="G66" i="17"/>
  <c r="H66" i="17" s="1"/>
  <c r="F66" i="17"/>
  <c r="B66" i="17"/>
  <c r="C66" i="17" s="1"/>
  <c r="G65" i="17"/>
  <c r="H65" i="17" s="1"/>
  <c r="F65" i="17"/>
  <c r="B65" i="17"/>
  <c r="C65" i="17" s="1"/>
  <c r="G64" i="17"/>
  <c r="H64" i="17" s="1"/>
  <c r="F64" i="17"/>
  <c r="B64" i="17"/>
  <c r="C64" i="17" s="1"/>
  <c r="G63" i="17"/>
  <c r="H63" i="17" s="1"/>
  <c r="F63" i="17"/>
  <c r="B63" i="17"/>
  <c r="C63" i="17" s="1"/>
  <c r="G62" i="17"/>
  <c r="H62" i="17" s="1"/>
  <c r="F62" i="17"/>
  <c r="B62" i="17"/>
  <c r="C62" i="17" s="1"/>
  <c r="G61" i="17"/>
  <c r="H61" i="17" s="1"/>
  <c r="F61" i="17"/>
  <c r="B61" i="17"/>
  <c r="C61" i="17" s="1"/>
  <c r="G60" i="17"/>
  <c r="H60" i="17" s="1"/>
  <c r="F60" i="17"/>
  <c r="B60" i="17"/>
  <c r="C60" i="17" s="1"/>
  <c r="G59" i="17"/>
  <c r="H59" i="17" s="1"/>
  <c r="F59" i="17"/>
  <c r="B59" i="17"/>
  <c r="C59" i="17" s="1"/>
  <c r="G58" i="17"/>
  <c r="H58" i="17" s="1"/>
  <c r="F58" i="17"/>
  <c r="B58" i="17"/>
  <c r="C58" i="17" s="1"/>
  <c r="G57" i="17"/>
  <c r="H57" i="17" s="1"/>
  <c r="F57" i="17"/>
  <c r="B57" i="17"/>
  <c r="C57" i="17" s="1"/>
  <c r="G56" i="17"/>
  <c r="H56" i="17" s="1"/>
  <c r="F56" i="17"/>
  <c r="B56" i="17"/>
  <c r="C56" i="17" s="1"/>
  <c r="G55" i="17"/>
  <c r="H55" i="17" s="1"/>
  <c r="F55" i="17"/>
  <c r="B55" i="17"/>
  <c r="C55" i="17" s="1"/>
  <c r="G54" i="17"/>
  <c r="H54" i="17" s="1"/>
  <c r="F54" i="17"/>
  <c r="B54" i="17"/>
  <c r="C54" i="17" s="1"/>
  <c r="G53" i="17"/>
  <c r="H53" i="17" s="1"/>
  <c r="F53" i="17"/>
  <c r="B53" i="17"/>
  <c r="C53" i="17" s="1"/>
  <c r="G52" i="17"/>
  <c r="H52" i="17" s="1"/>
  <c r="F52" i="17"/>
  <c r="B52" i="17"/>
  <c r="C52" i="17" s="1"/>
  <c r="G51" i="17"/>
  <c r="H51" i="17" s="1"/>
  <c r="F51" i="17"/>
  <c r="B51" i="17"/>
  <c r="C51" i="17" s="1"/>
  <c r="G50" i="17"/>
  <c r="H50" i="17" s="1"/>
  <c r="F50" i="17"/>
  <c r="B50" i="17"/>
  <c r="C50" i="17" s="1"/>
  <c r="G49" i="17"/>
  <c r="H49" i="17" s="1"/>
  <c r="F49" i="17"/>
  <c r="B49" i="17"/>
  <c r="C49" i="17" s="1"/>
  <c r="G48" i="17"/>
  <c r="H48" i="17" s="1"/>
  <c r="F48" i="17"/>
  <c r="B48" i="17"/>
  <c r="C48" i="17" s="1"/>
  <c r="G47" i="17"/>
  <c r="H47" i="17" s="1"/>
  <c r="F47" i="17"/>
  <c r="B47" i="17"/>
  <c r="C47" i="17" s="1"/>
  <c r="G46" i="17"/>
  <c r="H46" i="17" s="1"/>
  <c r="F46" i="17"/>
  <c r="B46" i="17"/>
  <c r="C46" i="17" s="1"/>
  <c r="G45" i="17"/>
  <c r="H45" i="17" s="1"/>
  <c r="F45" i="17"/>
  <c r="B45" i="17"/>
  <c r="C45" i="17" s="1"/>
  <c r="G44" i="17"/>
  <c r="H44" i="17" s="1"/>
  <c r="F44" i="17"/>
  <c r="B44" i="17"/>
  <c r="C44" i="17" s="1"/>
  <c r="G43" i="17"/>
  <c r="H43" i="17" s="1"/>
  <c r="F43" i="17"/>
  <c r="B43" i="17"/>
  <c r="C43" i="17" s="1"/>
  <c r="G42" i="17"/>
  <c r="H42" i="17" s="1"/>
  <c r="F42" i="17"/>
  <c r="B42" i="17"/>
  <c r="C42" i="17" s="1"/>
  <c r="G41" i="17"/>
  <c r="H41" i="17" s="1"/>
  <c r="F41" i="17"/>
  <c r="B41" i="17"/>
  <c r="C41" i="17" s="1"/>
  <c r="G40" i="17"/>
  <c r="H40" i="17" s="1"/>
  <c r="F40" i="17"/>
  <c r="B40" i="17"/>
  <c r="C40" i="17" s="1"/>
  <c r="G39" i="17"/>
  <c r="H39" i="17" s="1"/>
  <c r="F39" i="17"/>
  <c r="B39" i="17"/>
  <c r="C39" i="17" s="1"/>
  <c r="G38" i="17"/>
  <c r="H38" i="17" s="1"/>
  <c r="F38" i="17"/>
  <c r="B38" i="17"/>
  <c r="C38" i="17" s="1"/>
  <c r="G37" i="17"/>
  <c r="H37" i="17" s="1"/>
  <c r="F37" i="17"/>
  <c r="B37" i="17"/>
  <c r="C37" i="17" s="1"/>
  <c r="G36" i="17"/>
  <c r="H36" i="17" s="1"/>
  <c r="F36" i="17"/>
  <c r="B36" i="17"/>
  <c r="C36" i="17" s="1"/>
  <c r="G35" i="17"/>
  <c r="H35" i="17" s="1"/>
  <c r="F35" i="17"/>
  <c r="B35" i="17"/>
  <c r="C35" i="17" s="1"/>
  <c r="G34" i="17"/>
  <c r="H34" i="17" s="1"/>
  <c r="F34" i="17"/>
  <c r="B34" i="17"/>
  <c r="C34" i="17" s="1"/>
  <c r="G33" i="17"/>
  <c r="H33" i="17" s="1"/>
  <c r="F33" i="17"/>
  <c r="B33" i="17"/>
  <c r="C33" i="17" s="1"/>
  <c r="G32" i="17"/>
  <c r="H32" i="17" s="1"/>
  <c r="F32" i="17"/>
  <c r="B32" i="17"/>
  <c r="C32" i="17" s="1"/>
  <c r="G31" i="17"/>
  <c r="H31" i="17" s="1"/>
  <c r="F31" i="17"/>
  <c r="B31" i="17"/>
  <c r="C31" i="17" s="1"/>
  <c r="G30" i="17"/>
  <c r="H30" i="17" s="1"/>
  <c r="F30" i="17"/>
  <c r="B30" i="17"/>
  <c r="C30" i="17" s="1"/>
  <c r="G29" i="17"/>
  <c r="H29" i="17" s="1"/>
  <c r="F29" i="17"/>
  <c r="B29" i="17"/>
  <c r="C29" i="17" s="1"/>
  <c r="G28" i="17"/>
  <c r="H28" i="17" s="1"/>
  <c r="F28" i="17"/>
  <c r="B28" i="17"/>
  <c r="C28" i="17" s="1"/>
  <c r="G27" i="17"/>
  <c r="H27" i="17" s="1"/>
  <c r="F27" i="17"/>
  <c r="B27" i="17"/>
  <c r="C27" i="17" s="1"/>
  <c r="G26" i="17"/>
  <c r="H26" i="17" s="1"/>
  <c r="F26" i="17"/>
  <c r="B26" i="17"/>
  <c r="C26" i="17" s="1"/>
  <c r="G25" i="17"/>
  <c r="H25" i="17" s="1"/>
  <c r="F25" i="17"/>
  <c r="B25" i="17"/>
  <c r="C25" i="17" s="1"/>
  <c r="G24" i="17"/>
  <c r="H24" i="17" s="1"/>
  <c r="F24" i="17"/>
  <c r="B24" i="17"/>
  <c r="C24" i="17" s="1"/>
  <c r="G23" i="17"/>
  <c r="H23" i="17" s="1"/>
  <c r="F23" i="17"/>
  <c r="B23" i="17"/>
  <c r="C23" i="17" s="1"/>
  <c r="G22" i="17"/>
  <c r="H22" i="17" s="1"/>
  <c r="F22" i="17"/>
  <c r="B22" i="17"/>
  <c r="C22" i="17" s="1"/>
  <c r="G21" i="17"/>
  <c r="H21" i="17" s="1"/>
  <c r="F21" i="17"/>
  <c r="B21" i="17"/>
  <c r="C21" i="17" s="1"/>
  <c r="G20" i="17"/>
  <c r="H20" i="17" s="1"/>
  <c r="F20" i="17"/>
  <c r="B20" i="17"/>
  <c r="C20" i="17" s="1"/>
  <c r="G19" i="17"/>
  <c r="H19" i="17" s="1"/>
  <c r="F19" i="17"/>
  <c r="B19" i="17"/>
  <c r="C19" i="17" s="1"/>
  <c r="G18" i="17"/>
  <c r="H18" i="17" s="1"/>
  <c r="F18" i="17"/>
  <c r="B18" i="17"/>
  <c r="C18" i="17" s="1"/>
  <c r="G17" i="17"/>
  <c r="H17" i="17" s="1"/>
  <c r="F17" i="17"/>
  <c r="B17" i="17"/>
  <c r="C17" i="17" s="1"/>
  <c r="G16" i="17"/>
  <c r="H16" i="17" s="1"/>
  <c r="F16" i="17"/>
  <c r="B16" i="17"/>
  <c r="C16" i="17" s="1"/>
  <c r="G15" i="17"/>
  <c r="H15" i="17" s="1"/>
  <c r="F15" i="17"/>
  <c r="B15" i="17"/>
  <c r="C15" i="17" s="1"/>
  <c r="G14" i="17"/>
  <c r="H14" i="17" s="1"/>
  <c r="F14" i="17"/>
  <c r="G13" i="17"/>
  <c r="H13" i="17" s="1"/>
  <c r="F13" i="17"/>
  <c r="B13" i="17"/>
  <c r="C13" i="17" s="1"/>
  <c r="G12" i="17"/>
  <c r="H12" i="17" s="1"/>
  <c r="F12" i="17"/>
  <c r="B12" i="17"/>
  <c r="C12" i="17" s="1"/>
  <c r="G11" i="17"/>
  <c r="H11" i="17" s="1"/>
  <c r="F11" i="17"/>
  <c r="B11" i="17"/>
  <c r="C11" i="17" s="1"/>
  <c r="G10" i="17"/>
  <c r="H10" i="17" s="1"/>
  <c r="F10" i="17"/>
  <c r="B10" i="17"/>
  <c r="C10" i="17" s="1"/>
  <c r="G9" i="17"/>
  <c r="H9" i="17" s="1"/>
  <c r="F9" i="17"/>
  <c r="B9" i="17"/>
  <c r="C9" i="17" s="1"/>
  <c r="G8" i="17"/>
  <c r="H8" i="17" s="1"/>
  <c r="F8" i="17"/>
  <c r="B8" i="17"/>
  <c r="C8" i="17" s="1"/>
  <c r="G7" i="17"/>
  <c r="H7" i="17" s="1"/>
  <c r="F7" i="17"/>
  <c r="B7" i="17"/>
  <c r="C7" i="17" s="1"/>
  <c r="G6" i="17"/>
  <c r="H6" i="17" s="1"/>
  <c r="F6" i="17"/>
  <c r="B6" i="17"/>
  <c r="C6" i="17" s="1"/>
  <c r="G5" i="17"/>
  <c r="H5" i="17" s="1"/>
  <c r="F5" i="17"/>
  <c r="B5" i="17"/>
  <c r="C5" i="17" s="1"/>
  <c r="G4" i="17"/>
  <c r="H4" i="17" s="1"/>
  <c r="F4" i="17"/>
  <c r="B4" i="17"/>
  <c r="C4" i="17" s="1"/>
  <c r="G3" i="17"/>
  <c r="H3" i="17" s="1"/>
  <c r="F3" i="17"/>
  <c r="B3" i="17"/>
  <c r="C3" i="17" s="1"/>
  <c r="G2" i="17"/>
  <c r="H2" i="17" s="1"/>
  <c r="F2" i="17"/>
  <c r="B2" i="17"/>
  <c r="C2" i="17" s="1"/>
  <c r="F2" i="24" a="1"/>
  <c r="F2" i="24" s="1"/>
  <c r="G2" i="24" a="1"/>
  <c r="G2" i="24" s="1"/>
  <c r="H2" i="24" a="1"/>
  <c r="H2" i="24" s="1"/>
  <c r="F3" i="24" a="1"/>
  <c r="F3" i="24" s="1"/>
  <c r="G3" i="24" a="1"/>
  <c r="G3" i="24" s="1"/>
  <c r="L3" i="24" s="1"/>
  <c r="F4" i="24" a="1"/>
  <c r="F4" i="24" s="1"/>
  <c r="G4" i="24" a="1"/>
  <c r="G4" i="24" s="1"/>
  <c r="L4" i="24" s="1"/>
  <c r="F5" i="24" a="1"/>
  <c r="F5" i="24" s="1"/>
  <c r="G5" i="24" a="1"/>
  <c r="G5" i="24" s="1"/>
  <c r="L5" i="24" s="1"/>
  <c r="F6" i="24" a="1"/>
  <c r="F6" i="24" s="1"/>
  <c r="G6" i="24" a="1"/>
  <c r="G6" i="24" s="1"/>
  <c r="L6" i="24" s="1"/>
  <c r="F7" i="24" a="1"/>
  <c r="F7" i="24" s="1"/>
  <c r="G7" i="24" a="1"/>
  <c r="G7" i="24" s="1"/>
  <c r="L7" i="24" s="1"/>
  <c r="F8" i="24" a="1"/>
  <c r="F8" i="24" s="1"/>
  <c r="G8" i="24" a="1"/>
  <c r="G8" i="24" s="1"/>
  <c r="L8" i="24" s="1"/>
  <c r="F9" i="24" a="1"/>
  <c r="F9" i="24" s="1"/>
  <c r="G9" i="24" a="1"/>
  <c r="G9" i="24" s="1"/>
  <c r="L9" i="24" s="1"/>
  <c r="F10" i="24" a="1"/>
  <c r="F10" i="24" s="1"/>
  <c r="G10" i="24" a="1"/>
  <c r="G10" i="24" s="1"/>
  <c r="L10" i="24" s="1"/>
  <c r="F11" i="24" a="1"/>
  <c r="F11" i="24" s="1"/>
  <c r="G11" i="24" a="1"/>
  <c r="G11" i="24" s="1"/>
  <c r="L11" i="24" s="1"/>
  <c r="F12" i="24" a="1"/>
  <c r="F12" i="24" s="1"/>
  <c r="G12" i="24" a="1"/>
  <c r="G12" i="24" s="1"/>
  <c r="L12" i="24" s="1"/>
  <c r="F13" i="24" a="1"/>
  <c r="F13" i="24" s="1"/>
  <c r="G13" i="24" a="1"/>
  <c r="G13" i="24" s="1"/>
  <c r="L13" i="24" s="1"/>
  <c r="F14" i="24" a="1"/>
  <c r="F14" i="24" s="1"/>
  <c r="G14" i="24" a="1"/>
  <c r="G14" i="24" s="1"/>
  <c r="L14" i="24" s="1"/>
  <c r="F15" i="24" a="1"/>
  <c r="F15" i="24" s="1"/>
  <c r="G15" i="24" a="1"/>
  <c r="G15" i="24" s="1"/>
  <c r="L15" i="24" s="1"/>
  <c r="F16" i="24" a="1"/>
  <c r="F16" i="24" s="1"/>
  <c r="G16" i="24" a="1"/>
  <c r="G16" i="24" s="1"/>
  <c r="L16" i="24" s="1"/>
  <c r="F17" i="24" a="1"/>
  <c r="F17" i="24" s="1"/>
  <c r="G17" i="24" a="1"/>
  <c r="G17" i="24" s="1"/>
  <c r="L17" i="24" s="1"/>
  <c r="F18" i="24" a="1"/>
  <c r="F18" i="24" s="1"/>
  <c r="G18" i="24" a="1"/>
  <c r="G18" i="24" s="1"/>
  <c r="L18" i="24" s="1"/>
  <c r="F19" i="24" a="1"/>
  <c r="F19" i="24" s="1"/>
  <c r="G19" i="24" a="1"/>
  <c r="G19" i="24" s="1"/>
  <c r="L19" i="24" s="1"/>
  <c r="F20" i="24" a="1"/>
  <c r="F20" i="24" s="1"/>
  <c r="G20" i="24" a="1"/>
  <c r="G20" i="24" s="1"/>
  <c r="L20" i="24" s="1"/>
  <c r="F21" i="24" a="1"/>
  <c r="F21" i="24" s="1"/>
  <c r="G21" i="24" a="1"/>
  <c r="G21" i="24" s="1"/>
  <c r="L21" i="24" s="1"/>
  <c r="F22" i="24" a="1"/>
  <c r="F22" i="24" s="1"/>
  <c r="G22" i="24" a="1"/>
  <c r="G22" i="24" s="1"/>
  <c r="L22" i="24" s="1"/>
  <c r="F23" i="24" a="1"/>
  <c r="F23" i="24" s="1"/>
  <c r="G23" i="24" a="1"/>
  <c r="G23" i="24" s="1"/>
  <c r="L23" i="24" s="1"/>
  <c r="F24" i="24" a="1"/>
  <c r="F24" i="24" s="1"/>
  <c r="G24" i="24" a="1"/>
  <c r="G24" i="24" s="1"/>
  <c r="L24" i="24" s="1"/>
  <c r="F25" i="24" a="1"/>
  <c r="F25" i="24" s="1"/>
  <c r="G25" i="24" a="1"/>
  <c r="G25" i="24" s="1"/>
  <c r="L25" i="24" s="1"/>
  <c r="F26" i="24" a="1"/>
  <c r="F26" i="24" s="1"/>
  <c r="G26" i="24" a="1"/>
  <c r="G26" i="24" s="1"/>
  <c r="L26" i="24" s="1"/>
  <c r="F27" i="24" a="1"/>
  <c r="F27" i="24" s="1"/>
  <c r="G27" i="24" a="1"/>
  <c r="G27" i="24" s="1"/>
  <c r="L27" i="24" s="1"/>
  <c r="F28" i="24" a="1"/>
  <c r="F28" i="24" s="1"/>
  <c r="G28" i="24" a="1"/>
  <c r="G28" i="24" s="1"/>
  <c r="L28" i="24" s="1"/>
  <c r="F29" i="24" a="1"/>
  <c r="F29" i="24" s="1"/>
  <c r="G29" i="24" a="1"/>
  <c r="G29" i="24" s="1"/>
  <c r="L29" i="24" s="1"/>
  <c r="F30" i="24" a="1"/>
  <c r="F30" i="24" s="1"/>
  <c r="G30" i="24" a="1"/>
  <c r="G30" i="24" s="1"/>
  <c r="L30" i="24" s="1"/>
  <c r="F31" i="24" a="1"/>
  <c r="F31" i="24" s="1"/>
  <c r="G31" i="24" a="1"/>
  <c r="G31" i="24" s="1"/>
  <c r="L31" i="24" s="1"/>
  <c r="F32" i="24" a="1"/>
  <c r="F32" i="24" s="1"/>
  <c r="G32" i="24" a="1"/>
  <c r="G32" i="24" s="1"/>
  <c r="L32" i="24" s="1"/>
  <c r="F33" i="24" a="1"/>
  <c r="F33" i="24" s="1"/>
  <c r="G33" i="24" a="1"/>
  <c r="G33" i="24" s="1"/>
  <c r="L33" i="24" s="1"/>
  <c r="F34" i="24" a="1"/>
  <c r="F34" i="24" s="1"/>
  <c r="G34" i="24" a="1"/>
  <c r="G34" i="24" s="1"/>
  <c r="L34" i="24" s="1"/>
  <c r="F35" i="24" a="1"/>
  <c r="F35" i="24" s="1"/>
  <c r="G35" i="24" a="1"/>
  <c r="G35" i="24" s="1"/>
  <c r="L35" i="24" s="1"/>
  <c r="F36" i="24" a="1"/>
  <c r="F36" i="24" s="1"/>
  <c r="G36" i="24" a="1"/>
  <c r="G36" i="24" s="1"/>
  <c r="L36" i="24" s="1"/>
  <c r="F37" i="24" a="1"/>
  <c r="F37" i="24" s="1"/>
  <c r="G37" i="24" a="1"/>
  <c r="G37" i="24" s="1"/>
  <c r="L37" i="24" s="1"/>
  <c r="F38" i="24" a="1"/>
  <c r="F38" i="24" s="1"/>
  <c r="G38" i="24" a="1"/>
  <c r="G38" i="24" s="1"/>
  <c r="L38" i="24" s="1"/>
  <c r="F39" i="24" a="1"/>
  <c r="F39" i="24" s="1"/>
  <c r="G39" i="24" a="1"/>
  <c r="G39" i="24" s="1"/>
  <c r="L39" i="24" s="1"/>
  <c r="F40" i="24" a="1"/>
  <c r="F40" i="24" s="1"/>
  <c r="G40" i="24" a="1"/>
  <c r="G40" i="24" s="1"/>
  <c r="L40" i="24" s="1"/>
  <c r="F41" i="24" a="1"/>
  <c r="F41" i="24" s="1"/>
  <c r="G41" i="24" a="1"/>
  <c r="G41" i="24" s="1"/>
  <c r="L41" i="24" s="1"/>
  <c r="F42" i="24" a="1"/>
  <c r="F42" i="24" s="1"/>
  <c r="G42" i="24" a="1"/>
  <c r="G42" i="24" s="1"/>
  <c r="L42" i="24" s="1"/>
  <c r="F43" i="24" a="1"/>
  <c r="F43" i="24" s="1"/>
  <c r="G43" i="24" a="1"/>
  <c r="G43" i="24" s="1"/>
  <c r="L43" i="24" s="1"/>
  <c r="H44" i="24" a="1"/>
  <c r="H44" i="24" s="1"/>
  <c r="G44" i="24" a="1"/>
  <c r="G44" i="24" s="1"/>
  <c r="F44" i="24" a="1"/>
  <c r="F44" i="24" s="1"/>
  <c r="F45" i="24" a="1"/>
  <c r="F45" i="24" s="1"/>
  <c r="G45" i="24" a="1"/>
  <c r="G45" i="24" s="1"/>
  <c r="L45" i="24" s="1"/>
  <c r="F46" i="24" a="1"/>
  <c r="F46" i="24" s="1"/>
  <c r="G46" i="24" a="1"/>
  <c r="G46" i="24" s="1"/>
  <c r="L46" i="24" s="1"/>
  <c r="F47" i="24" a="1"/>
  <c r="F47" i="24" s="1"/>
  <c r="G47" i="24" a="1"/>
  <c r="G47" i="24" s="1"/>
  <c r="L47" i="24" s="1"/>
  <c r="F48" i="24" a="1"/>
  <c r="F48" i="24" s="1"/>
  <c r="G48" i="24" a="1"/>
  <c r="G48" i="24" s="1"/>
  <c r="L48" i="24" s="1"/>
  <c r="F49" i="24" a="1"/>
  <c r="F49" i="24" s="1"/>
  <c r="G49" i="24" a="1"/>
  <c r="G49" i="24" s="1"/>
  <c r="L49" i="24" s="1"/>
  <c r="F50" i="24" a="1"/>
  <c r="F50" i="24" s="1"/>
  <c r="G50" i="24" a="1"/>
  <c r="G50" i="24" s="1"/>
  <c r="L50" i="24" s="1"/>
  <c r="F51" i="24" a="1"/>
  <c r="F51" i="24" s="1"/>
  <c r="G51" i="24" a="1"/>
  <c r="G51" i="24" s="1"/>
  <c r="L51" i="24" s="1"/>
  <c r="F52" i="24" a="1"/>
  <c r="F52" i="24" s="1"/>
  <c r="G52" i="24" a="1"/>
  <c r="G52" i="24" s="1"/>
  <c r="L52" i="24" s="1"/>
  <c r="F53" i="24" a="1"/>
  <c r="F53" i="24" s="1"/>
  <c r="G53" i="24" a="1"/>
  <c r="G53" i="24" s="1"/>
  <c r="L53" i="24" s="1"/>
  <c r="F54" i="24" a="1"/>
  <c r="F54" i="24" s="1"/>
  <c r="G54" i="24" a="1"/>
  <c r="G54" i="24" s="1"/>
  <c r="L54" i="24" s="1"/>
  <c r="F55" i="24" a="1"/>
  <c r="F55" i="24" s="1"/>
  <c r="G55" i="24" a="1"/>
  <c r="G55" i="24" s="1"/>
  <c r="L55" i="24" s="1"/>
  <c r="F56" i="24" a="1"/>
  <c r="F56" i="24" s="1"/>
  <c r="G56" i="24" a="1"/>
  <c r="G56" i="24" s="1"/>
  <c r="L56" i="24" s="1"/>
  <c r="F57" i="24" a="1"/>
  <c r="F57" i="24" s="1"/>
  <c r="G57" i="24" a="1"/>
  <c r="G57" i="24" s="1"/>
  <c r="L57" i="24" s="1"/>
  <c r="F58" i="24" a="1"/>
  <c r="F58" i="24" s="1"/>
  <c r="G58" i="24" a="1"/>
  <c r="G58" i="24" s="1"/>
  <c r="L58" i="24" s="1"/>
  <c r="F59" i="24" a="1"/>
  <c r="F59" i="24" s="1"/>
  <c r="G59" i="24" a="1"/>
  <c r="G59" i="24" s="1"/>
  <c r="L59" i="24" s="1"/>
  <c r="F60" i="24" a="1"/>
  <c r="F60" i="24" s="1"/>
  <c r="G60" i="24" a="1"/>
  <c r="G60" i="24" s="1"/>
  <c r="L60" i="24" s="1"/>
  <c r="F61" i="24" a="1"/>
  <c r="F61" i="24" s="1"/>
  <c r="G61" i="24" a="1"/>
  <c r="G61" i="24" s="1"/>
  <c r="L61" i="24" s="1"/>
  <c r="F62" i="24" a="1"/>
  <c r="F62" i="24" s="1"/>
  <c r="G62" i="24" a="1"/>
  <c r="G62" i="24" s="1"/>
  <c r="L62" i="24" s="1"/>
  <c r="F63" i="24" a="1"/>
  <c r="F63" i="24" s="1"/>
  <c r="G63" i="24" a="1"/>
  <c r="G63" i="24" s="1"/>
  <c r="L63" i="24" s="1"/>
  <c r="F64" i="24" a="1"/>
  <c r="F64" i="24" s="1"/>
  <c r="G64" i="24" a="1"/>
  <c r="G64" i="24" s="1"/>
  <c r="L64" i="24" s="1"/>
  <c r="F65" i="24" a="1"/>
  <c r="F65" i="24" s="1"/>
  <c r="G65" i="24" a="1"/>
  <c r="G65" i="24" s="1"/>
  <c r="L65" i="24" s="1"/>
  <c r="F66" i="24" a="1"/>
  <c r="F66" i="24" s="1"/>
  <c r="G66" i="24" a="1"/>
  <c r="G66" i="24" s="1"/>
  <c r="L66" i="24" s="1"/>
  <c r="F67" i="24" a="1"/>
  <c r="F67" i="24" s="1"/>
  <c r="G67" i="24" a="1"/>
  <c r="G67" i="24" s="1"/>
  <c r="L67" i="24" s="1"/>
  <c r="F68" i="24" a="1"/>
  <c r="F68" i="24" s="1"/>
  <c r="G68" i="24" a="1"/>
  <c r="G68" i="24" s="1"/>
  <c r="L68" i="24" s="1"/>
  <c r="F69" i="24" a="1"/>
  <c r="F69" i="24" s="1"/>
  <c r="G69" i="24" a="1"/>
  <c r="G69" i="24" s="1"/>
  <c r="L69" i="24" s="1"/>
  <c r="F70" i="24" a="1"/>
  <c r="F70" i="24" s="1"/>
  <c r="G70" i="24" a="1"/>
  <c r="G70" i="24" s="1"/>
  <c r="L70" i="24" s="1"/>
  <c r="F71" i="24" a="1"/>
  <c r="F71" i="24" s="1"/>
  <c r="G71" i="24" a="1"/>
  <c r="G71" i="24" s="1"/>
  <c r="L71" i="24" s="1"/>
  <c r="F72" i="24" a="1"/>
  <c r="F72" i="24" s="1"/>
  <c r="G72" i="24" a="1"/>
  <c r="G72" i="24" s="1"/>
  <c r="L72" i="24" s="1"/>
  <c r="F73" i="24" a="1"/>
  <c r="F73" i="24" s="1"/>
  <c r="G73" i="24" a="1"/>
  <c r="G73" i="24" s="1"/>
  <c r="L73" i="24" s="1"/>
  <c r="F74" i="24" a="1"/>
  <c r="F74" i="24" s="1"/>
  <c r="G74" i="24" a="1"/>
  <c r="G74" i="24" s="1"/>
  <c r="L74" i="24" s="1"/>
  <c r="F75" i="24" a="1"/>
  <c r="F75" i="24" s="1"/>
  <c r="G75" i="24" a="1"/>
  <c r="G75" i="24" s="1"/>
  <c r="L75" i="24" s="1"/>
  <c r="F76" i="24" a="1"/>
  <c r="F76" i="24" s="1"/>
  <c r="G76" i="24" a="1"/>
  <c r="G76" i="24" s="1"/>
  <c r="L76" i="24" s="1"/>
  <c r="F77" i="24" a="1"/>
  <c r="F77" i="24" s="1"/>
  <c r="G77" i="24" a="1"/>
  <c r="G77" i="24" s="1"/>
  <c r="L77" i="24" s="1"/>
  <c r="F78" i="24" a="1"/>
  <c r="F78" i="24" s="1"/>
  <c r="G78" i="24" a="1"/>
  <c r="G78" i="24" s="1"/>
  <c r="L78" i="24" s="1"/>
  <c r="F79" i="24" a="1"/>
  <c r="F79" i="24" s="1"/>
  <c r="G79" i="24" a="1"/>
  <c r="G79" i="24" s="1"/>
  <c r="L79" i="24" s="1"/>
  <c r="F80" i="24" a="1"/>
  <c r="F80" i="24" s="1"/>
  <c r="G80" i="24" a="1"/>
  <c r="G80" i="24" s="1"/>
  <c r="L80" i="24" s="1"/>
  <c r="F81" i="24" a="1"/>
  <c r="F81" i="24" s="1"/>
  <c r="G81" i="24" a="1"/>
  <c r="G81" i="24" s="1"/>
  <c r="L81" i="24" s="1"/>
  <c r="F82" i="24" a="1"/>
  <c r="F82" i="24" s="1"/>
  <c r="G82" i="24" a="1"/>
  <c r="G82" i="24" s="1"/>
  <c r="L82" i="24" s="1"/>
  <c r="F83" i="24" a="1"/>
  <c r="F83" i="24" s="1"/>
  <c r="G83" i="24" a="1"/>
  <c r="G83" i="24" s="1"/>
  <c r="L83" i="24" s="1"/>
  <c r="F84" i="24" a="1"/>
  <c r="F84" i="24" s="1"/>
  <c r="G84" i="24" a="1"/>
  <c r="G84" i="24" s="1"/>
  <c r="L84" i="24" s="1"/>
  <c r="F85" i="24" a="1"/>
  <c r="F85" i="24" s="1"/>
  <c r="G85" i="24" a="1"/>
  <c r="G85" i="24" s="1"/>
  <c r="L85" i="24" s="1"/>
  <c r="F86" i="24" a="1"/>
  <c r="F86" i="24" s="1"/>
  <c r="G86" i="24" a="1"/>
  <c r="G86" i="24" s="1"/>
  <c r="L86" i="24" s="1"/>
  <c r="F87" i="24" a="1"/>
  <c r="F87" i="24" s="1"/>
  <c r="G87" i="24" a="1"/>
  <c r="G87" i="24" s="1"/>
  <c r="L87" i="24" s="1"/>
  <c r="F88" i="24" a="1"/>
  <c r="F88" i="24" s="1"/>
  <c r="G88" i="24" a="1"/>
  <c r="G88" i="24" s="1"/>
  <c r="L88" i="24" s="1"/>
  <c r="F89" i="24" a="1"/>
  <c r="F89" i="24" s="1"/>
  <c r="G89" i="24" a="1"/>
  <c r="G89" i="24" s="1"/>
  <c r="L89" i="24" s="1"/>
  <c r="F90" i="24" a="1"/>
  <c r="F90" i="24" s="1"/>
  <c r="G90" i="24" a="1"/>
  <c r="G90" i="24" s="1"/>
  <c r="L90" i="24" s="1"/>
  <c r="F91" i="24" a="1"/>
  <c r="F91" i="24" s="1"/>
  <c r="G91" i="24" a="1"/>
  <c r="G91" i="24" s="1"/>
  <c r="L91" i="24" s="1"/>
  <c r="F92" i="24" a="1"/>
  <c r="F92" i="24" s="1"/>
  <c r="G92" i="24" a="1"/>
  <c r="G92" i="24" s="1"/>
  <c r="L92" i="24" s="1"/>
  <c r="F93" i="24" a="1"/>
  <c r="F93" i="24" s="1"/>
  <c r="G93" i="24" a="1"/>
  <c r="G93" i="24" s="1"/>
  <c r="L93" i="24" s="1"/>
  <c r="F94" i="24" a="1"/>
  <c r="F94" i="24" s="1"/>
  <c r="G94" i="24" a="1"/>
  <c r="G94" i="24" s="1"/>
  <c r="L94" i="24" s="1"/>
  <c r="F95" i="24" a="1"/>
  <c r="F95" i="24" s="1"/>
  <c r="G95" i="24" a="1"/>
  <c r="G95" i="24" s="1"/>
  <c r="L95" i="24" s="1"/>
  <c r="F96" i="24" a="1"/>
  <c r="F96" i="24" s="1"/>
  <c r="G96" i="24" a="1"/>
  <c r="G96" i="24" s="1"/>
  <c r="L96" i="24" s="1"/>
  <c r="F97" i="24" a="1"/>
  <c r="F97" i="24" s="1"/>
  <c r="G97" i="24" a="1"/>
  <c r="G97" i="24" s="1"/>
  <c r="L97" i="24" s="1"/>
  <c r="L44" i="24" l="1"/>
  <c r="L2" i="24"/>
  <c r="B2" i="21"/>
  <c r="H47" i="26"/>
  <c r="K47" i="26" s="1"/>
  <c r="I46" i="26"/>
  <c r="L46" i="26" s="1"/>
  <c r="G46" i="26"/>
  <c r="J46" i="26" s="1"/>
  <c r="H45" i="26"/>
  <c r="K45" i="26" s="1"/>
  <c r="I44" i="26"/>
  <c r="L44" i="26" s="1"/>
  <c r="G44" i="26"/>
  <c r="J44" i="26" s="1"/>
  <c r="H43" i="26"/>
  <c r="K43" i="26" s="1"/>
  <c r="I42" i="26"/>
  <c r="G42" i="26"/>
  <c r="J42" i="26" s="1"/>
  <c r="H41" i="26"/>
  <c r="I40" i="26"/>
  <c r="L40" i="26" s="1"/>
  <c r="G40" i="26"/>
  <c r="H39" i="26"/>
  <c r="K39" i="26" s="1"/>
  <c r="I38" i="26"/>
  <c r="L38" i="26" s="1"/>
  <c r="G38" i="26"/>
  <c r="J38" i="26" s="1"/>
  <c r="H37" i="26"/>
  <c r="K37" i="26" s="1"/>
  <c r="I36" i="26"/>
  <c r="L36" i="26" s="1"/>
  <c r="G36" i="26"/>
  <c r="J36" i="26" s="1"/>
  <c r="H35" i="26"/>
  <c r="K35" i="26" s="1"/>
  <c r="I34" i="26"/>
  <c r="G34" i="26"/>
  <c r="J34" i="26" s="1"/>
  <c r="H33" i="26"/>
  <c r="I32" i="26"/>
  <c r="L32" i="26" s="1"/>
  <c r="G32" i="26"/>
  <c r="J32" i="26" s="1"/>
  <c r="H31" i="26"/>
  <c r="K31" i="26" s="1"/>
  <c r="I30" i="26"/>
  <c r="L30" i="26" s="1"/>
  <c r="G30" i="26"/>
  <c r="J30" i="26" s="1"/>
  <c r="H29" i="26"/>
  <c r="K29" i="26" s="1"/>
  <c r="I28" i="26"/>
  <c r="L28" i="26" s="1"/>
  <c r="G28" i="26"/>
  <c r="H27" i="26"/>
  <c r="K27" i="26" s="1"/>
  <c r="I26" i="26"/>
  <c r="G26" i="26"/>
  <c r="J26" i="26" s="1"/>
  <c r="H25" i="26"/>
  <c r="I24" i="26"/>
  <c r="L24" i="26" s="1"/>
  <c r="G24" i="26"/>
  <c r="H23" i="26"/>
  <c r="K23" i="26" s="1"/>
  <c r="I22" i="26"/>
  <c r="G22" i="26"/>
  <c r="J22" i="26" s="1"/>
  <c r="H21" i="26"/>
  <c r="K21" i="26" s="1"/>
  <c r="I20" i="26"/>
  <c r="L20" i="26" s="1"/>
  <c r="G20" i="26"/>
  <c r="H19" i="26"/>
  <c r="K19" i="26" s="1"/>
  <c r="I18" i="26"/>
  <c r="G18" i="26"/>
  <c r="J18" i="26" s="1"/>
  <c r="H17" i="26"/>
  <c r="I16" i="26"/>
  <c r="L16" i="26" s="1"/>
  <c r="G16" i="26"/>
  <c r="H15" i="26"/>
  <c r="K15" i="26" s="1"/>
  <c r="I14" i="26"/>
  <c r="L14" i="26" s="1"/>
  <c r="G14" i="26"/>
  <c r="J14" i="26" s="1"/>
  <c r="H13" i="26"/>
  <c r="K13" i="26" s="1"/>
  <c r="I12" i="26"/>
  <c r="L12" i="26" s="1"/>
  <c r="G12" i="26"/>
  <c r="J12" i="26" s="1"/>
  <c r="H11" i="26"/>
  <c r="K11" i="26" s="1"/>
  <c r="I10" i="26"/>
  <c r="G10" i="26"/>
  <c r="J10" i="26" s="1"/>
  <c r="H9" i="26"/>
  <c r="I8" i="26"/>
  <c r="L8" i="26" s="1"/>
  <c r="G8" i="26"/>
  <c r="J8" i="26" s="1"/>
  <c r="H7" i="26"/>
  <c r="K7" i="26" s="1"/>
  <c r="I6" i="26"/>
  <c r="L6" i="26" s="1"/>
  <c r="G6" i="26"/>
  <c r="J6" i="26" s="1"/>
  <c r="H5" i="26"/>
  <c r="K5" i="26" s="1"/>
  <c r="I4" i="26"/>
  <c r="L4" i="26" s="1"/>
  <c r="G4" i="26"/>
  <c r="H3" i="26"/>
  <c r="K3" i="26" s="1"/>
  <c r="I47" i="26"/>
  <c r="L47" i="26" s="1"/>
  <c r="G47" i="26"/>
  <c r="J47" i="26" s="1"/>
  <c r="H46" i="26"/>
  <c r="K46" i="26" s="1"/>
  <c r="I45" i="26"/>
  <c r="L45" i="26" s="1"/>
  <c r="G45" i="26"/>
  <c r="J45" i="26" s="1"/>
  <c r="H44" i="26"/>
  <c r="K44" i="26" s="1"/>
  <c r="I43" i="26"/>
  <c r="L43" i="26" s="1"/>
  <c r="G43" i="26"/>
  <c r="J43" i="26" s="1"/>
  <c r="H42" i="26"/>
  <c r="K42" i="26" s="1"/>
  <c r="I41" i="26"/>
  <c r="L41" i="26" s="1"/>
  <c r="G41" i="26"/>
  <c r="J41" i="26" s="1"/>
  <c r="H40" i="26"/>
  <c r="K40" i="26" s="1"/>
  <c r="I39" i="26"/>
  <c r="L39" i="26" s="1"/>
  <c r="G39" i="26"/>
  <c r="J39" i="26" s="1"/>
  <c r="H38" i="26"/>
  <c r="K38" i="26" s="1"/>
  <c r="I37" i="26"/>
  <c r="L37" i="26" s="1"/>
  <c r="G37" i="26"/>
  <c r="J37" i="26" s="1"/>
  <c r="H36" i="26"/>
  <c r="K36" i="26" s="1"/>
  <c r="I35" i="26"/>
  <c r="L35" i="26" s="1"/>
  <c r="G35" i="26"/>
  <c r="J35" i="26" s="1"/>
  <c r="H34" i="26"/>
  <c r="K34" i="26" s="1"/>
  <c r="I33" i="26"/>
  <c r="L33" i="26" s="1"/>
  <c r="G33" i="26"/>
  <c r="J33" i="26" s="1"/>
  <c r="H32" i="26"/>
  <c r="K32" i="26" s="1"/>
  <c r="I31" i="26"/>
  <c r="G31" i="26"/>
  <c r="J31" i="26" s="1"/>
  <c r="H30" i="26"/>
  <c r="K30" i="26" s="1"/>
  <c r="I29" i="26"/>
  <c r="L29" i="26" s="1"/>
  <c r="G29" i="26"/>
  <c r="J29" i="26" s="1"/>
  <c r="H28" i="26"/>
  <c r="K28" i="26" s="1"/>
  <c r="I27" i="26"/>
  <c r="L27" i="26" s="1"/>
  <c r="G27" i="26"/>
  <c r="J27" i="26" s="1"/>
  <c r="H26" i="26"/>
  <c r="I25" i="26"/>
  <c r="L25" i="26" s="1"/>
  <c r="G25" i="26"/>
  <c r="J25" i="26" s="1"/>
  <c r="H24" i="26"/>
  <c r="K24" i="26" s="1"/>
  <c r="I23" i="26"/>
  <c r="G23" i="26"/>
  <c r="J23" i="26" s="1"/>
  <c r="H22" i="26"/>
  <c r="K22" i="26" s="1"/>
  <c r="I21" i="26"/>
  <c r="L21" i="26" s="1"/>
  <c r="G21" i="26"/>
  <c r="J21" i="26" s="1"/>
  <c r="H20" i="26"/>
  <c r="K20" i="26" s="1"/>
  <c r="I19" i="26"/>
  <c r="L19" i="26" s="1"/>
  <c r="G19" i="26"/>
  <c r="J19" i="26" s="1"/>
  <c r="H18" i="26"/>
  <c r="K18" i="26" s="1"/>
  <c r="I17" i="26"/>
  <c r="L17" i="26" s="1"/>
  <c r="G17" i="26"/>
  <c r="H16" i="26"/>
  <c r="K16" i="26" s="1"/>
  <c r="I15" i="26"/>
  <c r="G15" i="26"/>
  <c r="J15" i="26" s="1"/>
  <c r="H14" i="26"/>
  <c r="K14" i="26" s="1"/>
  <c r="I13" i="26"/>
  <c r="L13" i="26" s="1"/>
  <c r="G13" i="26"/>
  <c r="J13" i="26" s="1"/>
  <c r="H12" i="26"/>
  <c r="K12" i="26" s="1"/>
  <c r="I11" i="26"/>
  <c r="L11" i="26" s="1"/>
  <c r="G11" i="26"/>
  <c r="J11" i="26" s="1"/>
  <c r="H10" i="26"/>
  <c r="K10" i="26" s="1"/>
  <c r="I9" i="26"/>
  <c r="L9" i="26" s="1"/>
  <c r="G9" i="26"/>
  <c r="J9" i="26" s="1"/>
  <c r="H8" i="26"/>
  <c r="K8" i="26" s="1"/>
  <c r="I7" i="26"/>
  <c r="L7" i="26" s="1"/>
  <c r="G7" i="26"/>
  <c r="J7" i="26" s="1"/>
  <c r="H6" i="26"/>
  <c r="K6" i="26" s="1"/>
  <c r="I5" i="26"/>
  <c r="L5" i="26" s="1"/>
  <c r="G5" i="26"/>
  <c r="J5" i="26" s="1"/>
  <c r="H4" i="26"/>
  <c r="K4" i="26" s="1"/>
  <c r="I3" i="26"/>
  <c r="G3" i="26"/>
  <c r="J3" i="26" s="1"/>
  <c r="B16" i="22"/>
  <c r="B13" i="21" s="1"/>
  <c r="B21" i="22"/>
  <c r="B7" i="22"/>
  <c r="J24" i="26"/>
  <c r="B20" i="22"/>
  <c r="B4" i="21" s="1"/>
  <c r="L10" i="26"/>
  <c r="L3" i="26"/>
  <c r="K26" i="26"/>
  <c r="J4" i="26"/>
  <c r="J20" i="26"/>
  <c r="B26" i="22"/>
  <c r="B7" i="21" s="1"/>
  <c r="J17" i="26"/>
  <c r="L26" i="26"/>
  <c r="L31" i="26"/>
  <c r="L15" i="26"/>
  <c r="L22" i="26"/>
  <c r="L34" i="26"/>
  <c r="J16" i="26"/>
  <c r="J28" i="26"/>
  <c r="J40" i="26"/>
  <c r="L18" i="26"/>
  <c r="L23" i="26"/>
  <c r="L42" i="26"/>
  <c r="K9" i="26"/>
  <c r="K17" i="26"/>
  <c r="K25" i="26"/>
  <c r="K33" i="26"/>
  <c r="K41" i="26"/>
  <c r="B15" i="22"/>
  <c r="B12" i="21" s="1"/>
  <c r="B24" i="22"/>
  <c r="E2" i="17"/>
  <c r="D2" i="17"/>
  <c r="E3" i="17"/>
  <c r="D3" i="17"/>
  <c r="E4" i="17"/>
  <c r="D4" i="17"/>
  <c r="E5" i="17"/>
  <c r="D5" i="17"/>
  <c r="E6" i="17"/>
  <c r="D6" i="17"/>
  <c r="E7" i="17"/>
  <c r="D7" i="17"/>
  <c r="E8" i="17"/>
  <c r="D8" i="17"/>
  <c r="E9" i="17"/>
  <c r="D9" i="17"/>
  <c r="E10" i="17"/>
  <c r="D10" i="17"/>
  <c r="E11" i="17"/>
  <c r="D11" i="17"/>
  <c r="E12" i="17"/>
  <c r="D12" i="17"/>
  <c r="E13" i="17"/>
  <c r="D13" i="17"/>
  <c r="E14" i="17"/>
  <c r="D14" i="17"/>
  <c r="E15" i="17"/>
  <c r="D15" i="17"/>
  <c r="E16" i="17"/>
  <c r="D16" i="17"/>
  <c r="E17" i="17"/>
  <c r="D17" i="17"/>
  <c r="E18" i="17"/>
  <c r="D18" i="17"/>
  <c r="E19" i="17"/>
  <c r="D19" i="17"/>
  <c r="E20" i="17"/>
  <c r="D20" i="17"/>
  <c r="E21" i="17"/>
  <c r="D21" i="17"/>
  <c r="E22" i="17"/>
  <c r="D22" i="17"/>
  <c r="E23" i="17"/>
  <c r="D23" i="17"/>
  <c r="E24" i="17"/>
  <c r="D24" i="17"/>
  <c r="E25" i="17"/>
  <c r="D25" i="17"/>
  <c r="E26" i="17"/>
  <c r="D26" i="17"/>
  <c r="E27" i="17"/>
  <c r="D27" i="17"/>
  <c r="E28" i="17"/>
  <c r="D28" i="17"/>
  <c r="E29" i="17"/>
  <c r="D29" i="17"/>
  <c r="E30" i="17"/>
  <c r="D30" i="17"/>
  <c r="E31" i="17"/>
  <c r="D31" i="17"/>
  <c r="E32" i="17"/>
  <c r="D32" i="17"/>
  <c r="E33" i="17"/>
  <c r="D33" i="17"/>
  <c r="E34" i="17"/>
  <c r="D34" i="17"/>
  <c r="E35" i="17"/>
  <c r="D35" i="17"/>
  <c r="E36" i="17"/>
  <c r="D36" i="17"/>
  <c r="E37" i="17"/>
  <c r="D37" i="17"/>
  <c r="E38" i="17"/>
  <c r="D38" i="17"/>
  <c r="E39" i="17"/>
  <c r="D39" i="17"/>
  <c r="E40" i="17"/>
  <c r="D40" i="17"/>
  <c r="E41" i="17"/>
  <c r="D41" i="17"/>
  <c r="E42" i="17"/>
  <c r="D42" i="17"/>
  <c r="E43" i="17"/>
  <c r="D43" i="17"/>
  <c r="E44" i="17"/>
  <c r="D44" i="17"/>
  <c r="E45" i="17"/>
  <c r="D45" i="17"/>
  <c r="E46" i="17"/>
  <c r="D46" i="17"/>
  <c r="E47" i="17"/>
  <c r="D47" i="17"/>
  <c r="E48" i="17"/>
  <c r="D48" i="17"/>
  <c r="E49" i="17"/>
  <c r="D49" i="17"/>
  <c r="E50" i="17"/>
  <c r="D50" i="17"/>
  <c r="E51" i="17"/>
  <c r="D51" i="17"/>
  <c r="E52" i="17"/>
  <c r="D52" i="17"/>
  <c r="E53" i="17"/>
  <c r="D53" i="17"/>
  <c r="E54" i="17"/>
  <c r="D54" i="17"/>
  <c r="E55" i="17"/>
  <c r="D55" i="17"/>
  <c r="E56" i="17"/>
  <c r="D56" i="17"/>
  <c r="E57" i="17"/>
  <c r="D57" i="17"/>
  <c r="E58" i="17"/>
  <c r="D58" i="17"/>
  <c r="E59" i="17"/>
  <c r="D59" i="17"/>
  <c r="E60" i="17"/>
  <c r="D60" i="17"/>
  <c r="E61" i="17"/>
  <c r="D61" i="17"/>
  <c r="E62" i="17"/>
  <c r="D62" i="17"/>
  <c r="E63" i="17"/>
  <c r="D63" i="17"/>
  <c r="E64" i="17"/>
  <c r="D64" i="17"/>
  <c r="E65" i="17"/>
  <c r="D65" i="17"/>
  <c r="E66" i="17"/>
  <c r="D66" i="17"/>
  <c r="E67" i="17"/>
  <c r="D67" i="17"/>
  <c r="E68" i="17"/>
  <c r="D68" i="17"/>
  <c r="E69" i="17"/>
  <c r="D69" i="17"/>
  <c r="E70" i="17"/>
  <c r="D70" i="17"/>
  <c r="E71" i="17"/>
  <c r="D71" i="17"/>
  <c r="E72" i="17"/>
  <c r="D72" i="17"/>
  <c r="E73" i="17"/>
  <c r="D73" i="17"/>
  <c r="E74" i="17"/>
  <c r="D74" i="17"/>
  <c r="E75" i="17"/>
  <c r="D75" i="17"/>
  <c r="E76" i="17"/>
  <c r="D76" i="17"/>
  <c r="E77" i="17"/>
  <c r="D77" i="17"/>
  <c r="E78" i="17"/>
  <c r="D78" i="17"/>
  <c r="E79" i="17"/>
  <c r="D79" i="17"/>
  <c r="E80" i="17"/>
  <c r="D80" i="17"/>
  <c r="E81" i="17"/>
  <c r="D81" i="17"/>
  <c r="E82" i="17"/>
  <c r="D82" i="17"/>
  <c r="E83" i="17"/>
  <c r="D83" i="17"/>
  <c r="E84" i="17"/>
  <c r="D84" i="17"/>
  <c r="E85" i="17"/>
  <c r="D85" i="17"/>
  <c r="E86" i="17"/>
  <c r="D86" i="17"/>
  <c r="E87" i="17"/>
  <c r="D87" i="17"/>
  <c r="E88" i="17"/>
  <c r="D88" i="17"/>
  <c r="E89" i="17"/>
  <c r="D89" i="17"/>
  <c r="E90" i="17"/>
  <c r="D90" i="17"/>
  <c r="E91" i="17"/>
  <c r="D91" i="17"/>
  <c r="E92" i="17"/>
  <c r="D92" i="17"/>
  <c r="E93" i="17"/>
  <c r="D93" i="17"/>
  <c r="E94" i="17"/>
  <c r="D94" i="17"/>
  <c r="E95" i="17"/>
  <c r="D95" i="17"/>
  <c r="E96" i="17"/>
  <c r="D96" i="17"/>
  <c r="E97" i="17"/>
  <c r="D97" i="17"/>
  <c r="E21" i="14"/>
  <c r="B3" i="27" s="1"/>
  <c r="B14" i="22"/>
  <c r="B11" i="21" s="1"/>
  <c r="B6" i="21" l="1"/>
  <c r="B14" i="17" l="1"/>
  <c r="C14" i="17" s="1"/>
  <c r="C34" i="13" l="1"/>
  <c r="F34" i="13" s="1"/>
  <c r="I4" i="24"/>
  <c r="C7" i="13"/>
  <c r="F7" i="13" s="1"/>
  <c r="I7" i="24"/>
  <c r="C75" i="13"/>
  <c r="F75" i="13" s="1"/>
  <c r="I10" i="24"/>
  <c r="C96" i="13"/>
  <c r="F96" i="13" s="1"/>
  <c r="I13" i="24"/>
  <c r="C35" i="13"/>
  <c r="F35" i="13" s="1"/>
  <c r="I16" i="24"/>
  <c r="C9" i="13"/>
  <c r="F9" i="13" s="1"/>
  <c r="I19" i="24"/>
  <c r="C50" i="13"/>
  <c r="F50" i="13" s="1"/>
  <c r="I22" i="24"/>
  <c r="C68" i="13"/>
  <c r="F68" i="13" s="1"/>
  <c r="I25" i="24"/>
  <c r="C24" i="13"/>
  <c r="F24" i="13" s="1"/>
  <c r="I28" i="24"/>
  <c r="C6" i="13"/>
  <c r="F6" i="13" s="1"/>
  <c r="I31" i="24"/>
  <c r="C56" i="13"/>
  <c r="F56" i="13" s="1"/>
  <c r="I34" i="24"/>
  <c r="C40" i="13"/>
  <c r="F40" i="13" s="1"/>
  <c r="I37" i="24"/>
  <c r="C38" i="13"/>
  <c r="F38" i="13" s="1"/>
  <c r="I40" i="24"/>
  <c r="C8" i="13"/>
  <c r="F8" i="13" s="1"/>
  <c r="I43" i="24"/>
  <c r="C52" i="13"/>
  <c r="F52" i="13" s="1"/>
  <c r="I46" i="24"/>
  <c r="C14" i="13"/>
  <c r="F14" i="13" s="1"/>
  <c r="I49" i="24"/>
  <c r="C28" i="13"/>
  <c r="F28" i="13" s="1"/>
  <c r="I52" i="24"/>
  <c r="C12" i="13"/>
  <c r="F12" i="13" s="1"/>
  <c r="I55" i="24"/>
  <c r="C70" i="13"/>
  <c r="F70" i="13" s="1"/>
  <c r="I58" i="24"/>
  <c r="C21" i="13"/>
  <c r="F21" i="13" s="1"/>
  <c r="I61" i="24"/>
  <c r="C29" i="13"/>
  <c r="F29" i="13" s="1"/>
  <c r="I64" i="24"/>
  <c r="C41" i="13"/>
  <c r="F41" i="13" s="1"/>
  <c r="I67" i="24"/>
  <c r="C51" i="13"/>
  <c r="F51" i="13" s="1"/>
  <c r="I70" i="24"/>
  <c r="C73" i="13"/>
  <c r="F73" i="13" s="1"/>
  <c r="I73" i="24"/>
  <c r="C84" i="13"/>
  <c r="F84" i="13" s="1"/>
  <c r="I76" i="24"/>
  <c r="C18" i="13"/>
  <c r="F18" i="13" s="1"/>
  <c r="I79" i="24"/>
  <c r="C71" i="13"/>
  <c r="F71" i="13" s="1"/>
  <c r="I82" i="24"/>
  <c r="C19" i="13"/>
  <c r="F19" i="13" s="1"/>
  <c r="I85" i="24"/>
  <c r="C87" i="13"/>
  <c r="F87" i="13" s="1"/>
  <c r="I88" i="24"/>
  <c r="C16" i="13"/>
  <c r="F16" i="13" s="1"/>
  <c r="I91" i="24"/>
  <c r="C67" i="13"/>
  <c r="F67" i="13" s="1"/>
  <c r="I94" i="24"/>
  <c r="C85" i="13"/>
  <c r="F85" i="13" s="1"/>
  <c r="I97" i="24"/>
  <c r="B3246" i="7"/>
  <c r="C3246" i="7" s="1"/>
  <c r="B3245" i="7"/>
  <c r="C3245" i="7" s="1"/>
  <c r="B3244" i="7"/>
  <c r="C3244" i="7" s="1"/>
  <c r="B3243" i="7"/>
  <c r="C3243" i="7" s="1"/>
  <c r="B3242" i="7"/>
  <c r="C3242" i="7" s="1"/>
  <c r="B3241" i="7"/>
  <c r="C3241" i="7" s="1"/>
  <c r="B3240" i="7"/>
  <c r="C3240" i="7" s="1"/>
  <c r="B3239" i="7"/>
  <c r="C3239" i="7" s="1"/>
  <c r="B3238" i="7"/>
  <c r="C3238" i="7" s="1"/>
  <c r="B3237" i="7"/>
  <c r="C3237" i="7" s="1"/>
  <c r="B3236" i="7"/>
  <c r="C3236" i="7" s="1"/>
  <c r="B3235" i="7"/>
  <c r="C3235" i="7" s="1"/>
  <c r="B3234" i="7"/>
  <c r="C3234" i="7" s="1"/>
  <c r="B3233" i="7"/>
  <c r="C3233" i="7" s="1"/>
  <c r="B3232" i="7"/>
  <c r="C3232" i="7" s="1"/>
  <c r="B3231" i="7"/>
  <c r="C3231" i="7" s="1"/>
  <c r="B3230" i="7"/>
  <c r="C3230" i="7" s="1"/>
  <c r="B3229" i="7"/>
  <c r="C3229" i="7" s="1"/>
  <c r="B3228" i="7"/>
  <c r="C3228" i="7" s="1"/>
  <c r="B3227" i="7"/>
  <c r="C3227" i="7" s="1"/>
  <c r="B3226" i="7"/>
  <c r="C3226" i="7" s="1"/>
  <c r="B3225" i="7"/>
  <c r="C3225" i="7" s="1"/>
  <c r="B3224" i="7"/>
  <c r="C3224" i="7" s="1"/>
  <c r="B3223" i="7"/>
  <c r="C3223" i="7" s="1"/>
  <c r="B3222" i="7"/>
  <c r="C3222" i="7" s="1"/>
  <c r="B3221" i="7"/>
  <c r="C3221" i="7" s="1"/>
  <c r="B3220" i="7"/>
  <c r="C3220" i="7" s="1"/>
  <c r="B3219" i="7"/>
  <c r="C3219" i="7" s="1"/>
  <c r="B3218" i="7"/>
  <c r="C3218" i="7" s="1"/>
  <c r="B3217" i="7"/>
  <c r="C3217" i="7" s="1"/>
  <c r="B3216" i="7"/>
  <c r="C3216" i="7" s="1"/>
  <c r="B3215" i="7"/>
  <c r="C3215" i="7" s="1"/>
  <c r="B3214" i="7"/>
  <c r="C3214" i="7" s="1"/>
  <c r="B3213" i="7"/>
  <c r="C3213" i="7" s="1"/>
  <c r="B3212" i="7"/>
  <c r="C3212" i="7" s="1"/>
  <c r="B3211" i="7"/>
  <c r="C3211" i="7" s="1"/>
  <c r="B3210" i="7"/>
  <c r="C3210" i="7" s="1"/>
  <c r="B3209" i="7"/>
  <c r="C3209" i="7" s="1"/>
  <c r="B3208" i="7"/>
  <c r="C3208" i="7" s="1"/>
  <c r="B3207" i="7"/>
  <c r="C3207" i="7" s="1"/>
  <c r="B3206" i="7"/>
  <c r="C3206" i="7" s="1"/>
  <c r="B3205" i="7"/>
  <c r="C3205" i="7" s="1"/>
  <c r="B3204" i="7"/>
  <c r="C3204" i="7" s="1"/>
  <c r="B3203" i="7"/>
  <c r="C3203" i="7" s="1"/>
  <c r="B3202" i="7"/>
  <c r="C3202" i="7" s="1"/>
  <c r="B3201" i="7"/>
  <c r="C3201" i="7" s="1"/>
  <c r="B3200" i="7"/>
  <c r="C3200" i="7" s="1"/>
  <c r="B3199" i="7"/>
  <c r="C3199" i="7" s="1"/>
  <c r="B3198" i="7"/>
  <c r="C3198" i="7" s="1"/>
  <c r="B3197" i="7"/>
  <c r="C3197" i="7" s="1"/>
  <c r="B3196" i="7"/>
  <c r="C3196" i="7" s="1"/>
  <c r="B3195" i="7"/>
  <c r="C3195" i="7" s="1"/>
  <c r="B3194" i="7"/>
  <c r="C3194" i="7" s="1"/>
  <c r="B3193" i="7"/>
  <c r="C3193" i="7" s="1"/>
  <c r="B3192" i="7"/>
  <c r="C3192" i="7" s="1"/>
  <c r="B3191" i="7"/>
  <c r="C3191" i="7" s="1"/>
  <c r="B3190" i="7"/>
  <c r="C3190" i="7" s="1"/>
  <c r="B3189" i="7"/>
  <c r="C3189" i="7" s="1"/>
  <c r="B3188" i="7"/>
  <c r="C3188" i="7" s="1"/>
  <c r="B3187" i="7"/>
  <c r="C3187" i="7" s="1"/>
  <c r="B3186" i="7"/>
  <c r="C3186" i="7" s="1"/>
  <c r="B3185" i="7"/>
  <c r="C3185" i="7" s="1"/>
  <c r="B3184" i="7"/>
  <c r="C3184" i="7" s="1"/>
  <c r="B3183" i="7"/>
  <c r="C3183" i="7" s="1"/>
  <c r="B3182" i="7"/>
  <c r="C3182" i="7" s="1"/>
  <c r="B3181" i="7"/>
  <c r="C3181" i="7" s="1"/>
  <c r="B3180" i="7"/>
  <c r="C3180" i="7" s="1"/>
  <c r="B3179" i="7"/>
  <c r="C3179" i="7" s="1"/>
  <c r="B3178" i="7"/>
  <c r="C3178" i="7" s="1"/>
  <c r="B3177" i="7"/>
  <c r="C3177" i="7" s="1"/>
  <c r="B3176" i="7"/>
  <c r="C3176" i="7" s="1"/>
  <c r="B3175" i="7"/>
  <c r="C3175" i="7" s="1"/>
  <c r="B3174" i="7"/>
  <c r="C3174" i="7" s="1"/>
  <c r="B3173" i="7"/>
  <c r="C3173" i="7" s="1"/>
  <c r="B3172" i="7"/>
  <c r="C3172" i="7" s="1"/>
  <c r="B3171" i="7"/>
  <c r="C3171" i="7" s="1"/>
  <c r="B3170" i="7"/>
  <c r="C3170" i="7" s="1"/>
  <c r="B3169" i="7"/>
  <c r="C3169" i="7" s="1"/>
  <c r="B3168" i="7"/>
  <c r="C3168" i="7" s="1"/>
  <c r="B3167" i="7"/>
  <c r="C3167" i="7" s="1"/>
  <c r="B3166" i="7"/>
  <c r="C3166" i="7" s="1"/>
  <c r="B3165" i="7"/>
  <c r="C3165" i="7" s="1"/>
  <c r="B3164" i="7"/>
  <c r="C3164" i="7" s="1"/>
  <c r="B3163" i="7"/>
  <c r="C3163" i="7" s="1"/>
  <c r="B3162" i="7"/>
  <c r="C3162" i="7" s="1"/>
  <c r="B3161" i="7"/>
  <c r="C3161" i="7" s="1"/>
  <c r="B3160" i="7"/>
  <c r="C3160" i="7" s="1"/>
  <c r="B3159" i="7"/>
  <c r="C3159" i="7" s="1"/>
  <c r="B3158" i="7"/>
  <c r="C3158" i="7" s="1"/>
  <c r="B3157" i="7"/>
  <c r="C3157" i="7" s="1"/>
  <c r="B3156" i="7"/>
  <c r="C3156" i="7" s="1"/>
  <c r="B3155" i="7"/>
  <c r="C3155" i="7" s="1"/>
  <c r="B3154" i="7"/>
  <c r="C3154" i="7" s="1"/>
  <c r="B3153" i="7"/>
  <c r="C3153" i="7" s="1"/>
  <c r="B3152" i="7"/>
  <c r="C3152" i="7" s="1"/>
  <c r="B3151" i="7"/>
  <c r="C3151" i="7" s="1"/>
  <c r="B3150" i="7"/>
  <c r="C3150" i="7" s="1"/>
  <c r="B3149" i="7"/>
  <c r="C3149" i="7" s="1"/>
  <c r="B3148" i="7"/>
  <c r="C3148" i="7" s="1"/>
  <c r="B3147" i="7"/>
  <c r="C3147" i="7" s="1"/>
  <c r="B3146" i="7"/>
  <c r="C3146" i="7" s="1"/>
  <c r="B3145" i="7"/>
  <c r="C3145" i="7" s="1"/>
  <c r="B3144" i="7"/>
  <c r="C3144" i="7" s="1"/>
  <c r="B3143" i="7"/>
  <c r="C3143" i="7" s="1"/>
  <c r="B3142" i="7"/>
  <c r="C3142" i="7" s="1"/>
  <c r="B3141" i="7"/>
  <c r="C3141" i="7" s="1"/>
  <c r="B3140" i="7"/>
  <c r="C3140" i="7" s="1"/>
  <c r="B3139" i="7"/>
  <c r="C3139" i="7" s="1"/>
  <c r="B3138" i="7"/>
  <c r="C3138" i="7" s="1"/>
  <c r="B3137" i="7"/>
  <c r="C3137" i="7" s="1"/>
  <c r="B3136" i="7"/>
  <c r="C3136" i="7" s="1"/>
  <c r="B3135" i="7"/>
  <c r="C3135" i="7" s="1"/>
  <c r="B3134" i="7"/>
  <c r="C3134" i="7" s="1"/>
  <c r="B3133" i="7"/>
  <c r="C3133" i="7" s="1"/>
  <c r="B3132" i="7"/>
  <c r="C3132" i="7" s="1"/>
  <c r="B3131" i="7"/>
  <c r="C3131" i="7" s="1"/>
  <c r="B3130" i="7"/>
  <c r="C3130" i="7" s="1"/>
  <c r="B3129" i="7"/>
  <c r="C3129" i="7" s="1"/>
  <c r="B3128" i="7"/>
  <c r="C3128" i="7" s="1"/>
  <c r="B3127" i="7"/>
  <c r="C3127" i="7" s="1"/>
  <c r="B3126" i="7"/>
  <c r="C3126" i="7" s="1"/>
  <c r="B3125" i="7"/>
  <c r="C3125" i="7" s="1"/>
  <c r="B3124" i="7"/>
  <c r="C3124" i="7" s="1"/>
  <c r="B3123" i="7"/>
  <c r="C3123" i="7" s="1"/>
  <c r="B3122" i="7"/>
  <c r="C3122" i="7" s="1"/>
  <c r="B3121" i="7"/>
  <c r="C3121" i="7" s="1"/>
  <c r="B3120" i="7"/>
  <c r="C3120" i="7" s="1"/>
  <c r="B3119" i="7"/>
  <c r="C3119" i="7" s="1"/>
  <c r="B3118" i="7"/>
  <c r="C3118" i="7" s="1"/>
  <c r="B3117" i="7"/>
  <c r="C3117" i="7" s="1"/>
  <c r="B3116" i="7"/>
  <c r="C3116" i="7" s="1"/>
  <c r="B3115" i="7"/>
  <c r="C3115" i="7" s="1"/>
  <c r="B3114" i="7"/>
  <c r="C3114" i="7" s="1"/>
  <c r="B3113" i="7"/>
  <c r="C3113" i="7" s="1"/>
  <c r="B3112" i="7"/>
  <c r="C3112" i="7" s="1"/>
  <c r="B3111" i="7"/>
  <c r="C3111" i="7" s="1"/>
  <c r="B3110" i="7"/>
  <c r="C3110" i="7" s="1"/>
  <c r="B3109" i="7"/>
  <c r="C3109" i="7" s="1"/>
  <c r="B3108" i="7"/>
  <c r="C3108" i="7" s="1"/>
  <c r="B3107" i="7"/>
  <c r="C3107" i="7" s="1"/>
  <c r="B3106" i="7"/>
  <c r="C3106" i="7" s="1"/>
  <c r="B3105" i="7"/>
  <c r="C3105" i="7" s="1"/>
  <c r="B3104" i="7"/>
  <c r="C3104" i="7" s="1"/>
  <c r="B3103" i="7"/>
  <c r="C3103" i="7" s="1"/>
  <c r="B3102" i="7"/>
  <c r="C3102" i="7" s="1"/>
  <c r="B3101" i="7"/>
  <c r="C3101" i="7" s="1"/>
  <c r="B3100" i="7"/>
  <c r="C3100" i="7" s="1"/>
  <c r="B3099" i="7"/>
  <c r="C3099" i="7" s="1"/>
  <c r="B3098" i="7"/>
  <c r="C3098" i="7" s="1"/>
  <c r="B3097" i="7"/>
  <c r="C3097" i="7" s="1"/>
  <c r="B3096" i="7"/>
  <c r="C3096" i="7" s="1"/>
  <c r="B3095" i="7"/>
  <c r="C3095" i="7" s="1"/>
  <c r="B3094" i="7"/>
  <c r="C3094" i="7" s="1"/>
  <c r="B3093" i="7"/>
  <c r="C3093" i="7" s="1"/>
  <c r="B3092" i="7"/>
  <c r="C3092" i="7" s="1"/>
  <c r="B3091" i="7"/>
  <c r="C3091" i="7" s="1"/>
  <c r="B3090" i="7"/>
  <c r="C3090" i="7" s="1"/>
  <c r="B3089" i="7"/>
  <c r="C3089" i="7" s="1"/>
  <c r="B3088" i="7"/>
  <c r="C3088" i="7" s="1"/>
  <c r="B3087" i="7"/>
  <c r="C3087" i="7" s="1"/>
  <c r="B3086" i="7"/>
  <c r="C3086" i="7" s="1"/>
  <c r="B3085" i="7"/>
  <c r="C3085" i="7" s="1"/>
  <c r="B3084" i="7"/>
  <c r="C3084" i="7" s="1"/>
  <c r="B3083" i="7"/>
  <c r="C3083" i="7" s="1"/>
  <c r="B3082" i="7"/>
  <c r="C3082" i="7" s="1"/>
  <c r="B3081" i="7"/>
  <c r="C3081" i="7" s="1"/>
  <c r="B3080" i="7"/>
  <c r="C3080" i="7" s="1"/>
  <c r="B3079" i="7"/>
  <c r="C3079" i="7" s="1"/>
  <c r="B3078" i="7"/>
  <c r="C3078" i="7" s="1"/>
  <c r="B3077" i="7"/>
  <c r="C3077" i="7" s="1"/>
  <c r="B3076" i="7"/>
  <c r="C3076" i="7" s="1"/>
  <c r="B3075" i="7"/>
  <c r="C3075" i="7" s="1"/>
  <c r="B3074" i="7"/>
  <c r="C3074" i="7" s="1"/>
  <c r="B3073" i="7"/>
  <c r="C3073" i="7" s="1"/>
  <c r="B3072" i="7"/>
  <c r="C3072" i="7" s="1"/>
  <c r="B3071" i="7"/>
  <c r="C3071" i="7" s="1"/>
  <c r="B3070" i="7"/>
  <c r="C3070" i="7" s="1"/>
  <c r="B3069" i="7"/>
  <c r="C3069" i="7" s="1"/>
  <c r="B3068" i="7"/>
  <c r="C3068" i="7" s="1"/>
  <c r="B3067" i="7"/>
  <c r="C3067" i="7" s="1"/>
  <c r="B3066" i="7"/>
  <c r="C3066" i="7" s="1"/>
  <c r="B3065" i="7"/>
  <c r="C3065" i="7" s="1"/>
  <c r="B3064" i="7"/>
  <c r="C3064" i="7" s="1"/>
  <c r="B3063" i="7"/>
  <c r="C3063" i="7" s="1"/>
  <c r="B3062" i="7"/>
  <c r="C3062" i="7" s="1"/>
  <c r="B3061" i="7"/>
  <c r="C3061" i="7" s="1"/>
  <c r="B3060" i="7"/>
  <c r="C3060" i="7" s="1"/>
  <c r="B3059" i="7"/>
  <c r="C3059" i="7" s="1"/>
  <c r="B3058" i="7"/>
  <c r="C3058" i="7" s="1"/>
  <c r="B3057" i="7"/>
  <c r="C3057" i="7" s="1"/>
  <c r="B3056" i="7"/>
  <c r="C3056" i="7" s="1"/>
  <c r="B3055" i="7"/>
  <c r="C3055" i="7" s="1"/>
  <c r="B3054" i="7"/>
  <c r="C3054" i="7" s="1"/>
  <c r="B3053" i="7"/>
  <c r="C3053" i="7" s="1"/>
  <c r="B3052" i="7"/>
  <c r="C3052" i="7" s="1"/>
  <c r="B3051" i="7"/>
  <c r="C3051" i="7" s="1"/>
  <c r="B3050" i="7"/>
  <c r="C3050" i="7" s="1"/>
  <c r="B3049" i="7"/>
  <c r="C3049" i="7" s="1"/>
  <c r="B3048" i="7"/>
  <c r="C3048" i="7" s="1"/>
  <c r="B3047" i="7"/>
  <c r="C3047" i="7" s="1"/>
  <c r="B3046" i="7"/>
  <c r="C3046" i="7" s="1"/>
  <c r="B3045" i="7"/>
  <c r="C3045" i="7" s="1"/>
  <c r="B3044" i="7"/>
  <c r="C3044" i="7" s="1"/>
  <c r="B3043" i="7"/>
  <c r="C3043" i="7" s="1"/>
  <c r="B3042" i="7"/>
  <c r="C3042" i="7" s="1"/>
  <c r="B3041" i="7"/>
  <c r="C3041" i="7" s="1"/>
  <c r="B3040" i="7"/>
  <c r="C3040" i="7" s="1"/>
  <c r="B3039" i="7"/>
  <c r="C3039" i="7" s="1"/>
  <c r="B3038" i="7"/>
  <c r="C3038" i="7" s="1"/>
  <c r="B3037" i="7"/>
  <c r="C3037" i="7" s="1"/>
  <c r="B3036" i="7"/>
  <c r="C3036" i="7" s="1"/>
  <c r="B3035" i="7"/>
  <c r="C3035" i="7" s="1"/>
  <c r="B3034" i="7"/>
  <c r="C3034" i="7" s="1"/>
  <c r="B3033" i="7"/>
  <c r="C3033" i="7" s="1"/>
  <c r="B3032" i="7"/>
  <c r="C3032" i="7" s="1"/>
  <c r="B3031" i="7"/>
  <c r="C3031" i="7" s="1"/>
  <c r="B3030" i="7"/>
  <c r="C3030" i="7" s="1"/>
  <c r="B3029" i="7"/>
  <c r="C3029" i="7" s="1"/>
  <c r="B3028" i="7"/>
  <c r="C3028" i="7" s="1"/>
  <c r="B3027" i="7"/>
  <c r="C3027" i="7" s="1"/>
  <c r="B3026" i="7"/>
  <c r="C3026" i="7" s="1"/>
  <c r="B3025" i="7"/>
  <c r="C3025" i="7" s="1"/>
  <c r="B3024" i="7"/>
  <c r="C3024" i="7" s="1"/>
  <c r="B3023" i="7"/>
  <c r="C3023" i="7" s="1"/>
  <c r="B3022" i="7"/>
  <c r="C3022" i="7" s="1"/>
  <c r="B3021" i="7"/>
  <c r="C3021" i="7" s="1"/>
  <c r="B3020" i="7"/>
  <c r="C3020" i="7" s="1"/>
  <c r="B3019" i="7"/>
  <c r="C3019" i="7" s="1"/>
  <c r="B3018" i="7"/>
  <c r="C3018" i="7" s="1"/>
  <c r="B3017" i="7"/>
  <c r="C3017" i="7" s="1"/>
  <c r="B3016" i="7"/>
  <c r="C3016" i="7" s="1"/>
  <c r="B3015" i="7"/>
  <c r="C3015" i="7" s="1"/>
  <c r="B3014" i="7"/>
  <c r="C3014" i="7" s="1"/>
  <c r="B3013" i="7"/>
  <c r="C3013" i="7" s="1"/>
  <c r="B3012" i="7"/>
  <c r="C3012" i="7" s="1"/>
  <c r="B3011" i="7"/>
  <c r="C3011" i="7" s="1"/>
  <c r="B3010" i="7"/>
  <c r="C3010" i="7" s="1"/>
  <c r="B3009" i="7"/>
  <c r="C3009" i="7" s="1"/>
  <c r="B3008" i="7"/>
  <c r="C3008" i="7" s="1"/>
  <c r="B3007" i="7"/>
  <c r="C3007" i="7" s="1"/>
  <c r="B3006" i="7"/>
  <c r="C3006" i="7" s="1"/>
  <c r="B3005" i="7"/>
  <c r="C3005" i="7" s="1"/>
  <c r="B3004" i="7"/>
  <c r="C3004" i="7" s="1"/>
  <c r="B3003" i="7"/>
  <c r="C3003" i="7" s="1"/>
  <c r="B3002" i="7"/>
  <c r="C3002" i="7" s="1"/>
  <c r="B3001" i="7"/>
  <c r="C3001" i="7" s="1"/>
  <c r="B3000" i="7"/>
  <c r="C3000" i="7" s="1"/>
  <c r="B2999" i="7"/>
  <c r="C2999" i="7" s="1"/>
  <c r="B2998" i="7"/>
  <c r="C2998" i="7" s="1"/>
  <c r="B2997" i="7"/>
  <c r="C2997" i="7" s="1"/>
  <c r="B2996" i="7"/>
  <c r="C2996" i="7" s="1"/>
  <c r="B2995" i="7"/>
  <c r="C2995" i="7" s="1"/>
  <c r="B2994" i="7"/>
  <c r="C2994" i="7" s="1"/>
  <c r="B2993" i="7"/>
  <c r="C2993" i="7" s="1"/>
  <c r="B2992" i="7"/>
  <c r="C2992" i="7" s="1"/>
  <c r="B2991" i="7"/>
  <c r="C2991" i="7" s="1"/>
  <c r="B2990" i="7"/>
  <c r="C2990" i="7" s="1"/>
  <c r="B2989" i="7"/>
  <c r="C2989" i="7" s="1"/>
  <c r="B2988" i="7"/>
  <c r="C2988" i="7" s="1"/>
  <c r="B2987" i="7"/>
  <c r="C2987" i="7" s="1"/>
  <c r="B2986" i="7"/>
  <c r="C2986" i="7" s="1"/>
  <c r="B2985" i="7"/>
  <c r="C2985" i="7" s="1"/>
  <c r="B2984" i="7"/>
  <c r="C2984" i="7" s="1"/>
  <c r="B2983" i="7"/>
  <c r="C2983" i="7" s="1"/>
  <c r="B2982" i="7"/>
  <c r="C2982" i="7" s="1"/>
  <c r="B2981" i="7"/>
  <c r="C2981" i="7" s="1"/>
  <c r="B2980" i="7"/>
  <c r="C2980" i="7" s="1"/>
  <c r="B2979" i="7"/>
  <c r="C2979" i="7" s="1"/>
  <c r="B2978" i="7"/>
  <c r="C2978" i="7" s="1"/>
  <c r="B2977" i="7"/>
  <c r="C2977" i="7" s="1"/>
  <c r="B2976" i="7"/>
  <c r="C2976" i="7" s="1"/>
  <c r="B2975" i="7"/>
  <c r="C2975" i="7" s="1"/>
  <c r="B2974" i="7"/>
  <c r="C2974" i="7" s="1"/>
  <c r="B2973" i="7"/>
  <c r="C2973" i="7" s="1"/>
  <c r="B2972" i="7"/>
  <c r="C2972" i="7" s="1"/>
  <c r="B2971" i="7"/>
  <c r="C2971" i="7" s="1"/>
  <c r="B2970" i="7"/>
  <c r="C2970" i="7" s="1"/>
  <c r="B2969" i="7"/>
  <c r="C2969" i="7" s="1"/>
  <c r="B2968" i="7"/>
  <c r="C2968" i="7" s="1"/>
  <c r="B2967" i="7"/>
  <c r="C2967" i="7" s="1"/>
  <c r="B2966" i="7"/>
  <c r="C2966" i="7" s="1"/>
  <c r="B2965" i="7"/>
  <c r="C2965" i="7" s="1"/>
  <c r="B2964" i="7"/>
  <c r="C2964" i="7" s="1"/>
  <c r="B2963" i="7"/>
  <c r="C2963" i="7" s="1"/>
  <c r="B2962" i="7"/>
  <c r="C2962" i="7" s="1"/>
  <c r="B2961" i="7"/>
  <c r="C2961" i="7" s="1"/>
  <c r="B2960" i="7"/>
  <c r="C2960" i="7" s="1"/>
  <c r="B2959" i="7"/>
  <c r="C2959" i="7" s="1"/>
  <c r="B2958" i="7"/>
  <c r="C2958" i="7" s="1"/>
  <c r="B2957" i="7"/>
  <c r="C2957" i="7" s="1"/>
  <c r="B2956" i="7"/>
  <c r="C2956" i="7" s="1"/>
  <c r="B2955" i="7"/>
  <c r="C2955" i="7" s="1"/>
  <c r="B2954" i="7"/>
  <c r="C2954" i="7" s="1"/>
  <c r="B2953" i="7"/>
  <c r="C2953" i="7" s="1"/>
  <c r="B2952" i="7"/>
  <c r="C2952" i="7" s="1"/>
  <c r="B2951" i="7"/>
  <c r="C2951" i="7" s="1"/>
  <c r="B2950" i="7"/>
  <c r="C2950" i="7" s="1"/>
  <c r="B2949" i="7"/>
  <c r="C2949" i="7" s="1"/>
  <c r="B2948" i="7"/>
  <c r="C2948" i="7" s="1"/>
  <c r="B2947" i="7"/>
  <c r="C2947" i="7" s="1"/>
  <c r="B2946" i="7"/>
  <c r="C2946" i="7" s="1"/>
  <c r="B2945" i="7"/>
  <c r="C2945" i="7" s="1"/>
  <c r="B2944" i="7"/>
  <c r="C2944" i="7" s="1"/>
  <c r="B2943" i="7"/>
  <c r="C2943" i="7" s="1"/>
  <c r="B2942" i="7"/>
  <c r="C2942" i="7" s="1"/>
  <c r="B2941" i="7"/>
  <c r="C2941" i="7" s="1"/>
  <c r="B2940" i="7"/>
  <c r="C2940" i="7" s="1"/>
  <c r="B2939" i="7"/>
  <c r="C2939" i="7" s="1"/>
  <c r="B2938" i="7"/>
  <c r="C2938" i="7" s="1"/>
  <c r="B2937" i="7"/>
  <c r="C2937" i="7" s="1"/>
  <c r="B2936" i="7"/>
  <c r="C2936" i="7" s="1"/>
  <c r="B2935" i="7"/>
  <c r="C2935" i="7" s="1"/>
  <c r="B2934" i="7"/>
  <c r="C2934" i="7" s="1"/>
  <c r="B2933" i="7"/>
  <c r="C2933" i="7" s="1"/>
  <c r="B2932" i="7"/>
  <c r="C2932" i="7" s="1"/>
  <c r="B2931" i="7"/>
  <c r="C2931" i="7" s="1"/>
  <c r="B2930" i="7"/>
  <c r="C2930" i="7" s="1"/>
  <c r="B2929" i="7"/>
  <c r="C2929" i="7" s="1"/>
  <c r="B2928" i="7"/>
  <c r="C2928" i="7" s="1"/>
  <c r="B2927" i="7"/>
  <c r="C2927" i="7" s="1"/>
  <c r="B2926" i="7"/>
  <c r="C2926" i="7" s="1"/>
  <c r="B2925" i="7"/>
  <c r="C2925" i="7" s="1"/>
  <c r="B2924" i="7"/>
  <c r="C2924" i="7" s="1"/>
  <c r="B2923" i="7"/>
  <c r="C2923" i="7" s="1"/>
  <c r="B2922" i="7"/>
  <c r="C2922" i="7" s="1"/>
  <c r="B2921" i="7"/>
  <c r="C2921" i="7" s="1"/>
  <c r="B2920" i="7"/>
  <c r="C2920" i="7" s="1"/>
  <c r="B2919" i="7"/>
  <c r="C2919" i="7" s="1"/>
  <c r="B2918" i="7"/>
  <c r="C2918" i="7" s="1"/>
  <c r="B2917" i="7"/>
  <c r="C2917" i="7" s="1"/>
  <c r="B2916" i="7"/>
  <c r="C2916" i="7" s="1"/>
  <c r="B2915" i="7"/>
  <c r="C2915" i="7" s="1"/>
  <c r="B2914" i="7"/>
  <c r="C2914" i="7" s="1"/>
  <c r="B2913" i="7"/>
  <c r="C2913" i="7" s="1"/>
  <c r="B2912" i="7"/>
  <c r="C2912" i="7" s="1"/>
  <c r="B2911" i="7"/>
  <c r="C2911" i="7" s="1"/>
  <c r="B2910" i="7"/>
  <c r="C2910" i="7" s="1"/>
  <c r="B2909" i="7"/>
  <c r="C2909" i="7" s="1"/>
  <c r="B2908" i="7"/>
  <c r="C2908" i="7" s="1"/>
  <c r="B2907" i="7"/>
  <c r="C2907" i="7" s="1"/>
  <c r="B2906" i="7"/>
  <c r="C2906" i="7" s="1"/>
  <c r="B2905" i="7"/>
  <c r="C2905" i="7" s="1"/>
  <c r="B2904" i="7"/>
  <c r="C2904" i="7" s="1"/>
  <c r="B2903" i="7"/>
  <c r="C2903" i="7" s="1"/>
  <c r="B2902" i="7"/>
  <c r="C2902" i="7" s="1"/>
  <c r="B2901" i="7"/>
  <c r="C2901" i="7" s="1"/>
  <c r="B2900" i="7"/>
  <c r="C2900" i="7" s="1"/>
  <c r="B2899" i="7"/>
  <c r="C2899" i="7" s="1"/>
  <c r="B2898" i="7"/>
  <c r="C2898" i="7" s="1"/>
  <c r="B2897" i="7"/>
  <c r="C2897" i="7" s="1"/>
  <c r="B2896" i="7"/>
  <c r="C2896" i="7" s="1"/>
  <c r="B2895" i="7"/>
  <c r="C2895" i="7" s="1"/>
  <c r="B2894" i="7"/>
  <c r="C2894" i="7" s="1"/>
  <c r="B2893" i="7"/>
  <c r="C2893" i="7" s="1"/>
  <c r="B2892" i="7"/>
  <c r="C2892" i="7" s="1"/>
  <c r="B2891" i="7"/>
  <c r="C2891" i="7" s="1"/>
  <c r="B2890" i="7"/>
  <c r="C2890" i="7" s="1"/>
  <c r="B2889" i="7"/>
  <c r="C2889" i="7" s="1"/>
  <c r="B2888" i="7"/>
  <c r="C2888" i="7" s="1"/>
  <c r="B2887" i="7"/>
  <c r="C2887" i="7" s="1"/>
  <c r="B2886" i="7"/>
  <c r="C2886" i="7" s="1"/>
  <c r="B2885" i="7"/>
  <c r="C2885" i="7" s="1"/>
  <c r="B2884" i="7"/>
  <c r="C2884" i="7" s="1"/>
  <c r="B2883" i="7"/>
  <c r="C2883" i="7" s="1"/>
  <c r="B2882" i="7"/>
  <c r="C2882" i="7" s="1"/>
  <c r="B2881" i="7"/>
  <c r="C2881" i="7" s="1"/>
  <c r="B2880" i="7"/>
  <c r="C2880" i="7" s="1"/>
  <c r="B2879" i="7"/>
  <c r="C2879" i="7" s="1"/>
  <c r="B2878" i="7"/>
  <c r="C2878" i="7" s="1"/>
  <c r="B2877" i="7"/>
  <c r="C2877" i="7" s="1"/>
  <c r="B2876" i="7"/>
  <c r="C2876" i="7" s="1"/>
  <c r="B2875" i="7"/>
  <c r="C2875" i="7" s="1"/>
  <c r="B2874" i="7"/>
  <c r="C2874" i="7" s="1"/>
  <c r="B2873" i="7"/>
  <c r="C2873" i="7" s="1"/>
  <c r="B2872" i="7"/>
  <c r="C2872" i="7" s="1"/>
  <c r="B2871" i="7"/>
  <c r="C2871" i="7" s="1"/>
  <c r="B2870" i="7"/>
  <c r="C2870" i="7" s="1"/>
  <c r="B2869" i="7"/>
  <c r="C2869" i="7" s="1"/>
  <c r="B2868" i="7"/>
  <c r="C2868" i="7" s="1"/>
  <c r="B2867" i="7"/>
  <c r="C2867" i="7" s="1"/>
  <c r="B2866" i="7"/>
  <c r="C2866" i="7" s="1"/>
  <c r="B2865" i="7"/>
  <c r="C2865" i="7" s="1"/>
  <c r="B2864" i="7"/>
  <c r="C2864" i="7" s="1"/>
  <c r="B2863" i="7"/>
  <c r="C2863" i="7" s="1"/>
  <c r="B2862" i="7"/>
  <c r="C2862" i="7" s="1"/>
  <c r="B2861" i="7"/>
  <c r="C2861" i="7" s="1"/>
  <c r="B2860" i="7"/>
  <c r="C2860" i="7" s="1"/>
  <c r="B2859" i="7"/>
  <c r="C2859" i="7" s="1"/>
  <c r="B2858" i="7"/>
  <c r="C2858" i="7" s="1"/>
  <c r="B2857" i="7"/>
  <c r="C2857" i="7" s="1"/>
  <c r="B2856" i="7"/>
  <c r="C2856" i="7" s="1"/>
  <c r="B2855" i="7"/>
  <c r="C2855" i="7" s="1"/>
  <c r="B2854" i="7"/>
  <c r="C2854" i="7" s="1"/>
  <c r="B2853" i="7"/>
  <c r="C2853" i="7" s="1"/>
  <c r="B2852" i="7"/>
  <c r="C2852" i="7" s="1"/>
  <c r="B2851" i="7"/>
  <c r="C2851" i="7" s="1"/>
  <c r="B2850" i="7"/>
  <c r="C2850" i="7" s="1"/>
  <c r="B2849" i="7"/>
  <c r="C2849" i="7" s="1"/>
  <c r="B2848" i="7"/>
  <c r="C2848" i="7" s="1"/>
  <c r="B2847" i="7"/>
  <c r="C2847" i="7" s="1"/>
  <c r="B2846" i="7"/>
  <c r="C2846" i="7" s="1"/>
  <c r="B2845" i="7"/>
  <c r="C2845" i="7" s="1"/>
  <c r="B2844" i="7"/>
  <c r="C2844" i="7" s="1"/>
  <c r="B2843" i="7"/>
  <c r="C2843" i="7" s="1"/>
  <c r="B2842" i="7"/>
  <c r="C2842" i="7" s="1"/>
  <c r="B2841" i="7"/>
  <c r="C2841" i="7" s="1"/>
  <c r="B2840" i="7"/>
  <c r="C2840" i="7" s="1"/>
  <c r="B2839" i="7"/>
  <c r="C2839" i="7" s="1"/>
  <c r="B2838" i="7"/>
  <c r="C2838" i="7" s="1"/>
  <c r="B2837" i="7"/>
  <c r="C2837" i="7" s="1"/>
  <c r="B2836" i="7"/>
  <c r="C2836" i="7" s="1"/>
  <c r="B2835" i="7"/>
  <c r="C2835" i="7" s="1"/>
  <c r="B2834" i="7"/>
  <c r="C2834" i="7" s="1"/>
  <c r="B2833" i="7"/>
  <c r="C2833" i="7" s="1"/>
  <c r="B2832" i="7"/>
  <c r="C2832" i="7" s="1"/>
  <c r="B2831" i="7"/>
  <c r="C2831" i="7" s="1"/>
  <c r="B2830" i="7"/>
  <c r="C2830" i="7" s="1"/>
  <c r="B2829" i="7"/>
  <c r="C2829" i="7" s="1"/>
  <c r="B2828" i="7"/>
  <c r="C2828" i="7" s="1"/>
  <c r="B2827" i="7"/>
  <c r="C2827" i="7" s="1"/>
  <c r="B2826" i="7"/>
  <c r="C2826" i="7" s="1"/>
  <c r="B2825" i="7"/>
  <c r="C2825" i="7" s="1"/>
  <c r="B2824" i="7"/>
  <c r="C2824" i="7" s="1"/>
  <c r="B2823" i="7"/>
  <c r="C2823" i="7" s="1"/>
  <c r="B2822" i="7"/>
  <c r="C2822" i="7" s="1"/>
  <c r="B2821" i="7"/>
  <c r="C2821" i="7" s="1"/>
  <c r="B2820" i="7"/>
  <c r="C2820" i="7" s="1"/>
  <c r="B2819" i="7"/>
  <c r="C2819" i="7" s="1"/>
  <c r="B2818" i="7"/>
  <c r="C2818" i="7" s="1"/>
  <c r="B2817" i="7"/>
  <c r="C2817" i="7" s="1"/>
  <c r="B2816" i="7"/>
  <c r="C2816" i="7" s="1"/>
  <c r="B2815" i="7"/>
  <c r="C2815" i="7" s="1"/>
  <c r="B2814" i="7"/>
  <c r="C2814" i="7" s="1"/>
  <c r="B2813" i="7"/>
  <c r="C2813" i="7" s="1"/>
  <c r="B2812" i="7"/>
  <c r="C2812" i="7" s="1"/>
  <c r="B2811" i="7"/>
  <c r="C2811" i="7" s="1"/>
  <c r="B2810" i="7"/>
  <c r="C2810" i="7" s="1"/>
  <c r="B2809" i="7"/>
  <c r="C2809" i="7" s="1"/>
  <c r="B2808" i="7"/>
  <c r="C2808" i="7" s="1"/>
  <c r="B2807" i="7"/>
  <c r="C2807" i="7" s="1"/>
  <c r="B2806" i="7"/>
  <c r="C2806" i="7" s="1"/>
  <c r="B2805" i="7"/>
  <c r="C2805" i="7" s="1"/>
  <c r="B2804" i="7"/>
  <c r="C2804" i="7" s="1"/>
  <c r="B2803" i="7"/>
  <c r="C2803" i="7" s="1"/>
  <c r="B2802" i="7"/>
  <c r="C2802" i="7" s="1"/>
  <c r="B2801" i="7"/>
  <c r="C2801" i="7" s="1"/>
  <c r="B2800" i="7"/>
  <c r="C2800" i="7" s="1"/>
  <c r="B2799" i="7"/>
  <c r="C2799" i="7" s="1"/>
  <c r="B2798" i="7"/>
  <c r="C2798" i="7" s="1"/>
  <c r="B2797" i="7"/>
  <c r="C2797" i="7" s="1"/>
  <c r="B2796" i="7"/>
  <c r="C2796" i="7" s="1"/>
  <c r="B2795" i="7"/>
  <c r="C2795" i="7" s="1"/>
  <c r="B2794" i="7"/>
  <c r="C2794" i="7" s="1"/>
  <c r="B2793" i="7"/>
  <c r="C2793" i="7" s="1"/>
  <c r="B2792" i="7"/>
  <c r="C2792" i="7" s="1"/>
  <c r="B2791" i="7"/>
  <c r="C2791" i="7" s="1"/>
  <c r="B2790" i="7"/>
  <c r="C2790" i="7" s="1"/>
  <c r="B2789" i="7"/>
  <c r="C2789" i="7" s="1"/>
  <c r="B2788" i="7"/>
  <c r="C2788" i="7" s="1"/>
  <c r="B2787" i="7"/>
  <c r="C2787" i="7" s="1"/>
  <c r="B2786" i="7"/>
  <c r="C2786" i="7" s="1"/>
  <c r="B2785" i="7"/>
  <c r="C2785" i="7" s="1"/>
  <c r="B2784" i="7"/>
  <c r="C2784" i="7" s="1"/>
  <c r="B2783" i="7"/>
  <c r="C2783" i="7" s="1"/>
  <c r="B2782" i="7"/>
  <c r="C2782" i="7" s="1"/>
  <c r="B2781" i="7"/>
  <c r="C2781" i="7" s="1"/>
  <c r="B2780" i="7"/>
  <c r="C2780" i="7" s="1"/>
  <c r="B2779" i="7"/>
  <c r="C2779" i="7" s="1"/>
  <c r="B2778" i="7"/>
  <c r="C2778" i="7" s="1"/>
  <c r="B2777" i="7"/>
  <c r="C2777" i="7" s="1"/>
  <c r="B2776" i="7"/>
  <c r="C2776" i="7" s="1"/>
  <c r="B2775" i="7"/>
  <c r="C2775" i="7" s="1"/>
  <c r="B2774" i="7"/>
  <c r="C2774" i="7" s="1"/>
  <c r="B2773" i="7"/>
  <c r="C2773" i="7" s="1"/>
  <c r="B2772" i="7"/>
  <c r="C2772" i="7" s="1"/>
  <c r="B2771" i="7"/>
  <c r="C2771" i="7" s="1"/>
  <c r="B2770" i="7"/>
  <c r="C2770" i="7" s="1"/>
  <c r="B2769" i="7"/>
  <c r="C2769" i="7" s="1"/>
  <c r="B2768" i="7"/>
  <c r="C2768" i="7" s="1"/>
  <c r="B2767" i="7"/>
  <c r="C2767" i="7" s="1"/>
  <c r="B2766" i="7"/>
  <c r="C2766" i="7" s="1"/>
  <c r="B2765" i="7"/>
  <c r="C2765" i="7" s="1"/>
  <c r="B2764" i="7"/>
  <c r="C2764" i="7" s="1"/>
  <c r="B2763" i="7"/>
  <c r="C2763" i="7" s="1"/>
  <c r="B2762" i="7"/>
  <c r="C2762" i="7" s="1"/>
  <c r="B2761" i="7"/>
  <c r="C2761" i="7" s="1"/>
  <c r="B2760" i="7"/>
  <c r="C2760" i="7" s="1"/>
  <c r="B2759" i="7"/>
  <c r="C2759" i="7" s="1"/>
  <c r="B2758" i="7"/>
  <c r="C2758" i="7" s="1"/>
  <c r="B2757" i="7"/>
  <c r="C2757" i="7" s="1"/>
  <c r="B2756" i="7"/>
  <c r="C2756" i="7" s="1"/>
  <c r="B2755" i="7"/>
  <c r="C2755" i="7" s="1"/>
  <c r="B2754" i="7"/>
  <c r="C2754" i="7" s="1"/>
  <c r="B2753" i="7"/>
  <c r="C2753" i="7" s="1"/>
  <c r="B2752" i="7"/>
  <c r="C2752" i="7" s="1"/>
  <c r="B2751" i="7"/>
  <c r="C2751" i="7" s="1"/>
  <c r="B2750" i="7"/>
  <c r="C2750" i="7" s="1"/>
  <c r="B2749" i="7"/>
  <c r="C2749" i="7" s="1"/>
  <c r="B2748" i="7"/>
  <c r="C2748" i="7" s="1"/>
  <c r="B2747" i="7"/>
  <c r="C2747" i="7" s="1"/>
  <c r="B2746" i="7"/>
  <c r="C2746" i="7" s="1"/>
  <c r="B2745" i="7"/>
  <c r="C2745" i="7" s="1"/>
  <c r="B2744" i="7"/>
  <c r="C2744" i="7" s="1"/>
  <c r="B2743" i="7"/>
  <c r="C2743" i="7" s="1"/>
  <c r="B2742" i="7"/>
  <c r="C2742" i="7" s="1"/>
  <c r="B2741" i="7"/>
  <c r="C2741" i="7" s="1"/>
  <c r="B2740" i="7"/>
  <c r="C2740" i="7" s="1"/>
  <c r="B2739" i="7"/>
  <c r="C2739" i="7" s="1"/>
  <c r="B2738" i="7"/>
  <c r="C2738" i="7" s="1"/>
  <c r="B2737" i="7"/>
  <c r="C2737" i="7" s="1"/>
  <c r="B2736" i="7"/>
  <c r="C2736" i="7" s="1"/>
  <c r="B2735" i="7"/>
  <c r="C2735" i="7" s="1"/>
  <c r="B2734" i="7"/>
  <c r="C2734" i="7" s="1"/>
  <c r="B2733" i="7"/>
  <c r="C2733" i="7" s="1"/>
  <c r="B2732" i="7"/>
  <c r="C2732" i="7" s="1"/>
  <c r="B2731" i="7"/>
  <c r="C2731" i="7" s="1"/>
  <c r="B2730" i="7"/>
  <c r="C2730" i="7" s="1"/>
  <c r="B2729" i="7"/>
  <c r="C2729" i="7" s="1"/>
  <c r="B2728" i="7"/>
  <c r="C2728" i="7" s="1"/>
  <c r="B2727" i="7"/>
  <c r="C2727" i="7" s="1"/>
  <c r="B2726" i="7"/>
  <c r="C2726" i="7" s="1"/>
  <c r="B2725" i="7"/>
  <c r="C2725" i="7" s="1"/>
  <c r="B2724" i="7"/>
  <c r="C2724" i="7" s="1"/>
  <c r="B2723" i="7"/>
  <c r="C2723" i="7" s="1"/>
  <c r="B2722" i="7"/>
  <c r="C2722" i="7" s="1"/>
  <c r="B2721" i="7"/>
  <c r="C2721" i="7" s="1"/>
  <c r="B2720" i="7"/>
  <c r="C2720" i="7" s="1"/>
  <c r="B2719" i="7"/>
  <c r="C2719" i="7" s="1"/>
  <c r="B2718" i="7"/>
  <c r="C2718" i="7" s="1"/>
  <c r="B2717" i="7"/>
  <c r="C2717" i="7" s="1"/>
  <c r="B2716" i="7"/>
  <c r="C2716" i="7" s="1"/>
  <c r="B2715" i="7"/>
  <c r="C2715" i="7" s="1"/>
  <c r="B2714" i="7"/>
  <c r="C2714" i="7" s="1"/>
  <c r="B2713" i="7"/>
  <c r="C2713" i="7" s="1"/>
  <c r="B2712" i="7"/>
  <c r="C2712" i="7" s="1"/>
  <c r="B2711" i="7"/>
  <c r="C2711" i="7" s="1"/>
  <c r="B2710" i="7"/>
  <c r="C2710" i="7" s="1"/>
  <c r="B2709" i="7"/>
  <c r="C2709" i="7" s="1"/>
  <c r="B2708" i="7"/>
  <c r="C2708" i="7" s="1"/>
  <c r="B2707" i="7"/>
  <c r="C2707" i="7" s="1"/>
  <c r="B2706" i="7"/>
  <c r="C2706" i="7" s="1"/>
  <c r="B2705" i="7"/>
  <c r="C2705" i="7" s="1"/>
  <c r="B2704" i="7"/>
  <c r="C2704" i="7" s="1"/>
  <c r="B2703" i="7"/>
  <c r="C2703" i="7" s="1"/>
  <c r="B2702" i="7"/>
  <c r="C2702" i="7" s="1"/>
  <c r="B2701" i="7"/>
  <c r="C2701" i="7" s="1"/>
  <c r="B2700" i="7"/>
  <c r="C2700" i="7" s="1"/>
  <c r="B2699" i="7"/>
  <c r="C2699" i="7" s="1"/>
  <c r="B2698" i="7"/>
  <c r="C2698" i="7" s="1"/>
  <c r="B2697" i="7"/>
  <c r="C2697" i="7" s="1"/>
  <c r="B2696" i="7"/>
  <c r="C2696" i="7" s="1"/>
  <c r="B2695" i="7"/>
  <c r="C2695" i="7" s="1"/>
  <c r="B2694" i="7"/>
  <c r="C2694" i="7" s="1"/>
  <c r="B2693" i="7"/>
  <c r="C2693" i="7" s="1"/>
  <c r="B2692" i="7"/>
  <c r="C2692" i="7" s="1"/>
  <c r="B2691" i="7"/>
  <c r="C2691" i="7" s="1"/>
  <c r="B2690" i="7"/>
  <c r="C2690" i="7" s="1"/>
  <c r="B2689" i="7"/>
  <c r="C2689" i="7" s="1"/>
  <c r="B2688" i="7"/>
  <c r="C2688" i="7" s="1"/>
  <c r="B2687" i="7"/>
  <c r="C2687" i="7" s="1"/>
  <c r="B2686" i="7"/>
  <c r="C2686" i="7" s="1"/>
  <c r="B2685" i="7"/>
  <c r="C2685" i="7" s="1"/>
  <c r="B2684" i="7"/>
  <c r="C2684" i="7" s="1"/>
  <c r="B2683" i="7"/>
  <c r="C2683" i="7" s="1"/>
  <c r="B2682" i="7"/>
  <c r="C2682" i="7" s="1"/>
  <c r="B2681" i="7"/>
  <c r="C2681" i="7" s="1"/>
  <c r="B2680" i="7"/>
  <c r="C2680" i="7" s="1"/>
  <c r="B2679" i="7"/>
  <c r="C2679" i="7" s="1"/>
  <c r="B2678" i="7"/>
  <c r="C2678" i="7" s="1"/>
  <c r="B2677" i="7"/>
  <c r="C2677" i="7" s="1"/>
  <c r="B2676" i="7"/>
  <c r="C2676" i="7" s="1"/>
  <c r="B2675" i="7"/>
  <c r="C2675" i="7" s="1"/>
  <c r="B2674" i="7"/>
  <c r="C2674" i="7" s="1"/>
  <c r="B2673" i="7"/>
  <c r="C2673" i="7" s="1"/>
  <c r="B2672" i="7"/>
  <c r="C2672" i="7" s="1"/>
  <c r="B2671" i="7"/>
  <c r="C2671" i="7" s="1"/>
  <c r="B2670" i="7"/>
  <c r="C2670" i="7" s="1"/>
  <c r="B2669" i="7"/>
  <c r="C2669" i="7" s="1"/>
  <c r="B2668" i="7"/>
  <c r="C2668" i="7" s="1"/>
  <c r="B2667" i="7"/>
  <c r="C2667" i="7" s="1"/>
  <c r="B2666" i="7"/>
  <c r="C2666" i="7" s="1"/>
  <c r="B2665" i="7"/>
  <c r="C2665" i="7" s="1"/>
  <c r="B2664" i="7"/>
  <c r="C2664" i="7" s="1"/>
  <c r="B2663" i="7"/>
  <c r="C2663" i="7" s="1"/>
  <c r="B2662" i="7"/>
  <c r="C2662" i="7" s="1"/>
  <c r="B2661" i="7"/>
  <c r="C2661" i="7" s="1"/>
  <c r="B2660" i="7"/>
  <c r="C2660" i="7" s="1"/>
  <c r="B2659" i="7"/>
  <c r="C2659" i="7" s="1"/>
  <c r="B2658" i="7"/>
  <c r="C2658" i="7" s="1"/>
  <c r="B2657" i="7"/>
  <c r="C2657" i="7" s="1"/>
  <c r="B2656" i="7"/>
  <c r="C2656" i="7" s="1"/>
  <c r="B2655" i="7"/>
  <c r="C2655" i="7" s="1"/>
  <c r="B2654" i="7"/>
  <c r="C2654" i="7" s="1"/>
  <c r="B2653" i="7"/>
  <c r="C2653" i="7" s="1"/>
  <c r="B2652" i="7"/>
  <c r="C2652" i="7" s="1"/>
  <c r="B2651" i="7"/>
  <c r="C2651" i="7" s="1"/>
  <c r="B2650" i="7"/>
  <c r="C2650" i="7" s="1"/>
  <c r="B2649" i="7"/>
  <c r="C2649" i="7" s="1"/>
  <c r="B2648" i="7"/>
  <c r="C2648" i="7" s="1"/>
  <c r="B2647" i="7"/>
  <c r="C2647" i="7" s="1"/>
  <c r="B2646" i="7"/>
  <c r="C2646" i="7" s="1"/>
  <c r="B2645" i="7"/>
  <c r="C2645" i="7" s="1"/>
  <c r="B2644" i="7"/>
  <c r="C2644" i="7" s="1"/>
  <c r="B2643" i="7"/>
  <c r="C2643" i="7" s="1"/>
  <c r="B2642" i="7"/>
  <c r="C2642" i="7" s="1"/>
  <c r="B2641" i="7"/>
  <c r="C2641" i="7" s="1"/>
  <c r="B2640" i="7"/>
  <c r="C2640" i="7" s="1"/>
  <c r="B2639" i="7"/>
  <c r="C2639" i="7" s="1"/>
  <c r="B2638" i="7"/>
  <c r="C2638" i="7" s="1"/>
  <c r="B2637" i="7"/>
  <c r="C2637" i="7" s="1"/>
  <c r="B2636" i="7"/>
  <c r="C2636" i="7" s="1"/>
  <c r="B2635" i="7"/>
  <c r="C2635" i="7" s="1"/>
  <c r="B2634" i="7"/>
  <c r="C2634" i="7" s="1"/>
  <c r="B2633" i="7"/>
  <c r="C2633" i="7" s="1"/>
  <c r="B2632" i="7"/>
  <c r="C2632" i="7" s="1"/>
  <c r="B2631" i="7"/>
  <c r="C2631" i="7" s="1"/>
  <c r="B2630" i="7"/>
  <c r="C2630" i="7" s="1"/>
  <c r="B2629" i="7"/>
  <c r="C2629" i="7" s="1"/>
  <c r="B2628" i="7"/>
  <c r="C2628" i="7" s="1"/>
  <c r="B2627" i="7"/>
  <c r="C2627" i="7" s="1"/>
  <c r="B2626" i="7"/>
  <c r="C2626" i="7" s="1"/>
  <c r="B2625" i="7"/>
  <c r="C2625" i="7" s="1"/>
  <c r="B2624" i="7"/>
  <c r="C2624" i="7" s="1"/>
  <c r="B2623" i="7"/>
  <c r="C2623" i="7" s="1"/>
  <c r="B2622" i="7"/>
  <c r="C2622" i="7" s="1"/>
  <c r="B2621" i="7"/>
  <c r="C2621" i="7" s="1"/>
  <c r="B2620" i="7"/>
  <c r="C2620" i="7" s="1"/>
  <c r="B2619" i="7"/>
  <c r="C2619" i="7" s="1"/>
  <c r="B2618" i="7"/>
  <c r="C2618" i="7" s="1"/>
  <c r="B2617" i="7"/>
  <c r="C2617" i="7" s="1"/>
  <c r="B2616" i="7"/>
  <c r="C2616" i="7" s="1"/>
  <c r="B2615" i="7"/>
  <c r="C2615" i="7" s="1"/>
  <c r="B2614" i="7"/>
  <c r="C2614" i="7" s="1"/>
  <c r="B2613" i="7"/>
  <c r="C2613" i="7" s="1"/>
  <c r="B2612" i="7"/>
  <c r="C2612" i="7" s="1"/>
  <c r="B2611" i="7"/>
  <c r="C2611" i="7" s="1"/>
  <c r="B2610" i="7"/>
  <c r="C2610" i="7" s="1"/>
  <c r="B2609" i="7"/>
  <c r="C2609" i="7" s="1"/>
  <c r="B2608" i="7"/>
  <c r="C2608" i="7" s="1"/>
  <c r="B2607" i="7"/>
  <c r="C2607" i="7" s="1"/>
  <c r="B2606" i="7"/>
  <c r="C2606" i="7" s="1"/>
  <c r="B2605" i="7"/>
  <c r="C2605" i="7" s="1"/>
  <c r="B2604" i="7"/>
  <c r="C2604" i="7" s="1"/>
  <c r="B2603" i="7"/>
  <c r="C2603" i="7" s="1"/>
  <c r="B2602" i="7"/>
  <c r="C2602" i="7" s="1"/>
  <c r="B2601" i="7"/>
  <c r="C2601" i="7" s="1"/>
  <c r="B2600" i="7"/>
  <c r="C2600" i="7" s="1"/>
  <c r="B2599" i="7"/>
  <c r="C2599" i="7" s="1"/>
  <c r="B2598" i="7"/>
  <c r="C2598" i="7" s="1"/>
  <c r="B2597" i="7"/>
  <c r="C2597" i="7" s="1"/>
  <c r="B2596" i="7"/>
  <c r="C2596" i="7" s="1"/>
  <c r="B2595" i="7"/>
  <c r="C2595" i="7" s="1"/>
  <c r="B2594" i="7"/>
  <c r="C2594" i="7" s="1"/>
  <c r="B2593" i="7"/>
  <c r="C2593" i="7" s="1"/>
  <c r="B2592" i="7"/>
  <c r="C2592" i="7" s="1"/>
  <c r="B2591" i="7"/>
  <c r="C2591" i="7" s="1"/>
  <c r="B2590" i="7"/>
  <c r="C2590" i="7" s="1"/>
  <c r="B2589" i="7"/>
  <c r="C2589" i="7" s="1"/>
  <c r="B2588" i="7"/>
  <c r="C2588" i="7" s="1"/>
  <c r="B2587" i="7"/>
  <c r="C2587" i="7" s="1"/>
  <c r="B2586" i="7"/>
  <c r="C2586" i="7" s="1"/>
  <c r="B2585" i="7"/>
  <c r="C2585" i="7" s="1"/>
  <c r="B2584" i="7"/>
  <c r="C2584" i="7" s="1"/>
  <c r="B2583" i="7"/>
  <c r="C2583" i="7" s="1"/>
  <c r="B2582" i="7"/>
  <c r="C2582" i="7" s="1"/>
  <c r="B2581" i="7"/>
  <c r="C2581" i="7" s="1"/>
  <c r="B2580" i="7"/>
  <c r="C2580" i="7" s="1"/>
  <c r="B2579" i="7"/>
  <c r="C2579" i="7" s="1"/>
  <c r="B2578" i="7"/>
  <c r="C2578" i="7" s="1"/>
  <c r="B2577" i="7"/>
  <c r="C2577" i="7" s="1"/>
  <c r="B2576" i="7"/>
  <c r="C2576" i="7" s="1"/>
  <c r="B2575" i="7"/>
  <c r="C2575" i="7" s="1"/>
  <c r="B2574" i="7"/>
  <c r="C2574" i="7" s="1"/>
  <c r="B2573" i="7"/>
  <c r="C2573" i="7" s="1"/>
  <c r="B2572" i="7"/>
  <c r="C2572" i="7" s="1"/>
  <c r="B2571" i="7"/>
  <c r="C2571" i="7" s="1"/>
  <c r="B2570" i="7"/>
  <c r="C2570" i="7" s="1"/>
  <c r="B2569" i="7"/>
  <c r="C2569" i="7" s="1"/>
  <c r="B2568" i="7"/>
  <c r="C2568" i="7" s="1"/>
  <c r="B2567" i="7"/>
  <c r="C2567" i="7" s="1"/>
  <c r="B2566" i="7"/>
  <c r="C2566" i="7" s="1"/>
  <c r="B2565" i="7"/>
  <c r="C2565" i="7" s="1"/>
  <c r="B2564" i="7"/>
  <c r="C2564" i="7" s="1"/>
  <c r="B2563" i="7"/>
  <c r="C2563" i="7" s="1"/>
  <c r="B2562" i="7"/>
  <c r="C2562" i="7" s="1"/>
  <c r="B2561" i="7"/>
  <c r="C2561" i="7" s="1"/>
  <c r="B2560" i="7"/>
  <c r="C2560" i="7" s="1"/>
  <c r="B2559" i="7"/>
  <c r="C2559" i="7" s="1"/>
  <c r="B2558" i="7"/>
  <c r="C2558" i="7" s="1"/>
  <c r="B2557" i="7"/>
  <c r="C2557" i="7" s="1"/>
  <c r="B2556" i="7"/>
  <c r="C2556" i="7" s="1"/>
  <c r="B2555" i="7"/>
  <c r="C2555" i="7" s="1"/>
  <c r="B2554" i="7"/>
  <c r="C2554" i="7" s="1"/>
  <c r="B2553" i="7"/>
  <c r="C2553" i="7" s="1"/>
  <c r="B2552" i="7"/>
  <c r="C2552" i="7" s="1"/>
  <c r="B2551" i="7"/>
  <c r="C2551" i="7" s="1"/>
  <c r="B2550" i="7"/>
  <c r="C2550" i="7" s="1"/>
  <c r="B2549" i="7"/>
  <c r="C2549" i="7" s="1"/>
  <c r="B2548" i="7"/>
  <c r="C2548" i="7" s="1"/>
  <c r="B2547" i="7"/>
  <c r="C2547" i="7" s="1"/>
  <c r="B2546" i="7"/>
  <c r="C2546" i="7" s="1"/>
  <c r="B2545" i="7"/>
  <c r="C2545" i="7" s="1"/>
  <c r="B2544" i="7"/>
  <c r="C2544" i="7" s="1"/>
  <c r="B2543" i="7"/>
  <c r="C2543" i="7" s="1"/>
  <c r="B2542" i="7"/>
  <c r="C2542" i="7" s="1"/>
  <c r="B2541" i="7"/>
  <c r="C2541" i="7" s="1"/>
  <c r="B2540" i="7"/>
  <c r="C2540" i="7" s="1"/>
  <c r="B2539" i="7"/>
  <c r="C2539" i="7" s="1"/>
  <c r="B2538" i="7"/>
  <c r="C2538" i="7" s="1"/>
  <c r="B2537" i="7"/>
  <c r="C2537" i="7" s="1"/>
  <c r="B2536" i="7"/>
  <c r="C2536" i="7" s="1"/>
  <c r="B2535" i="7"/>
  <c r="C2535" i="7" s="1"/>
  <c r="B2534" i="7"/>
  <c r="C2534" i="7" s="1"/>
  <c r="B2533" i="7"/>
  <c r="C2533" i="7" s="1"/>
  <c r="B2532" i="7"/>
  <c r="C2532" i="7" s="1"/>
  <c r="B2531" i="7"/>
  <c r="C2531" i="7" s="1"/>
  <c r="B2530" i="7"/>
  <c r="C2530" i="7" s="1"/>
  <c r="B2529" i="7"/>
  <c r="C2529" i="7" s="1"/>
  <c r="B2528" i="7"/>
  <c r="C2528" i="7" s="1"/>
  <c r="B2527" i="7"/>
  <c r="C2527" i="7" s="1"/>
  <c r="B2526" i="7"/>
  <c r="C2526" i="7" s="1"/>
  <c r="B2525" i="7"/>
  <c r="C2525" i="7" s="1"/>
  <c r="B2524" i="7"/>
  <c r="C2524" i="7" s="1"/>
  <c r="B2523" i="7"/>
  <c r="C2523" i="7" s="1"/>
  <c r="B2522" i="7"/>
  <c r="C2522" i="7" s="1"/>
  <c r="B2521" i="7"/>
  <c r="C2521" i="7" s="1"/>
  <c r="B2520" i="7"/>
  <c r="C2520" i="7" s="1"/>
  <c r="B2519" i="7"/>
  <c r="C2519" i="7" s="1"/>
  <c r="B2518" i="7"/>
  <c r="C2518" i="7" s="1"/>
  <c r="B2517" i="7"/>
  <c r="C2517" i="7" s="1"/>
  <c r="B2516" i="7"/>
  <c r="C2516" i="7" s="1"/>
  <c r="B2515" i="7"/>
  <c r="C2515" i="7" s="1"/>
  <c r="B2514" i="7"/>
  <c r="C2514" i="7" s="1"/>
  <c r="B2513" i="7"/>
  <c r="C2513" i="7" s="1"/>
  <c r="B2512" i="7"/>
  <c r="C2512" i="7" s="1"/>
  <c r="B2511" i="7"/>
  <c r="C2511" i="7" s="1"/>
  <c r="B2510" i="7"/>
  <c r="C2510" i="7" s="1"/>
  <c r="B2509" i="7"/>
  <c r="C2509" i="7" s="1"/>
  <c r="B2508" i="7"/>
  <c r="C2508" i="7" s="1"/>
  <c r="B2507" i="7"/>
  <c r="C2507" i="7" s="1"/>
  <c r="B2506" i="7"/>
  <c r="C2506" i="7" s="1"/>
  <c r="B2505" i="7"/>
  <c r="C2505" i="7" s="1"/>
  <c r="B2504" i="7"/>
  <c r="C2504" i="7" s="1"/>
  <c r="B2503" i="7"/>
  <c r="C2503" i="7" s="1"/>
  <c r="B2502" i="7"/>
  <c r="C2502" i="7" s="1"/>
  <c r="B2501" i="7"/>
  <c r="C2501" i="7" s="1"/>
  <c r="B2500" i="7"/>
  <c r="C2500" i="7" s="1"/>
  <c r="B2499" i="7"/>
  <c r="C2499" i="7" s="1"/>
  <c r="B2498" i="7"/>
  <c r="C2498" i="7" s="1"/>
  <c r="B2497" i="7"/>
  <c r="C2497" i="7" s="1"/>
  <c r="B2496" i="7"/>
  <c r="C2496" i="7" s="1"/>
  <c r="B2495" i="7"/>
  <c r="C2495" i="7" s="1"/>
  <c r="B2494" i="7"/>
  <c r="C2494" i="7" s="1"/>
  <c r="B2493" i="7"/>
  <c r="C2493" i="7" s="1"/>
  <c r="B2492" i="7"/>
  <c r="C2492" i="7" s="1"/>
  <c r="B2491" i="7"/>
  <c r="C2491" i="7" s="1"/>
  <c r="B2490" i="7"/>
  <c r="C2490" i="7" s="1"/>
  <c r="B2489" i="7"/>
  <c r="C2489" i="7" s="1"/>
  <c r="B2488" i="7"/>
  <c r="C2488" i="7" s="1"/>
  <c r="B2487" i="7"/>
  <c r="C2487" i="7" s="1"/>
  <c r="B2486" i="7"/>
  <c r="C2486" i="7" s="1"/>
  <c r="B2485" i="7"/>
  <c r="C2485" i="7" s="1"/>
  <c r="B2484" i="7"/>
  <c r="C2484" i="7" s="1"/>
  <c r="B2483" i="7"/>
  <c r="C2483" i="7" s="1"/>
  <c r="B2482" i="7"/>
  <c r="C2482" i="7" s="1"/>
  <c r="B2481" i="7"/>
  <c r="C2481" i="7" s="1"/>
  <c r="B2480" i="7"/>
  <c r="C2480" i="7" s="1"/>
  <c r="B2479" i="7"/>
  <c r="C2479" i="7" s="1"/>
  <c r="B2478" i="7"/>
  <c r="C2478" i="7" s="1"/>
  <c r="B2477" i="7"/>
  <c r="C2477" i="7" s="1"/>
  <c r="B2476" i="7"/>
  <c r="C2476" i="7" s="1"/>
  <c r="B2475" i="7"/>
  <c r="C2475" i="7" s="1"/>
  <c r="B2474" i="7"/>
  <c r="C2474" i="7" s="1"/>
  <c r="B2473" i="7"/>
  <c r="C2473" i="7" s="1"/>
  <c r="B2472" i="7"/>
  <c r="C2472" i="7" s="1"/>
  <c r="B2471" i="7"/>
  <c r="C2471" i="7" s="1"/>
  <c r="B2470" i="7"/>
  <c r="C2470" i="7" s="1"/>
  <c r="B2469" i="7"/>
  <c r="C2469" i="7" s="1"/>
  <c r="B2468" i="7"/>
  <c r="C2468" i="7" s="1"/>
  <c r="B2467" i="7"/>
  <c r="C2467" i="7" s="1"/>
  <c r="B2466" i="7"/>
  <c r="C2466" i="7" s="1"/>
  <c r="B2465" i="7"/>
  <c r="C2465" i="7" s="1"/>
  <c r="B2464" i="7"/>
  <c r="C2464" i="7" s="1"/>
  <c r="B2463" i="7"/>
  <c r="C2463" i="7" s="1"/>
  <c r="B2462" i="7"/>
  <c r="C2462" i="7" s="1"/>
  <c r="B2461" i="7"/>
  <c r="C2461" i="7" s="1"/>
  <c r="B2460" i="7"/>
  <c r="C2460" i="7" s="1"/>
  <c r="B2459" i="7"/>
  <c r="C2459" i="7" s="1"/>
  <c r="B2458" i="7"/>
  <c r="C2458" i="7" s="1"/>
  <c r="B2457" i="7"/>
  <c r="C2457" i="7" s="1"/>
  <c r="B2456" i="7"/>
  <c r="C2456" i="7" s="1"/>
  <c r="B2455" i="7"/>
  <c r="C2455" i="7" s="1"/>
  <c r="B2454" i="7"/>
  <c r="C2454" i="7" s="1"/>
  <c r="B2453" i="7"/>
  <c r="C2453" i="7" s="1"/>
  <c r="B2452" i="7"/>
  <c r="C2452" i="7" s="1"/>
  <c r="B2451" i="7"/>
  <c r="C2451" i="7" s="1"/>
  <c r="B2450" i="7"/>
  <c r="C2450" i="7" s="1"/>
  <c r="B2449" i="7"/>
  <c r="C2449" i="7" s="1"/>
  <c r="B2448" i="7"/>
  <c r="C2448" i="7" s="1"/>
  <c r="B2447" i="7"/>
  <c r="C2447" i="7" s="1"/>
  <c r="B2446" i="7"/>
  <c r="C2446" i="7" s="1"/>
  <c r="B2445" i="7"/>
  <c r="C2445" i="7" s="1"/>
  <c r="B2444" i="7"/>
  <c r="C2444" i="7" s="1"/>
  <c r="B2443" i="7"/>
  <c r="C2443" i="7" s="1"/>
  <c r="B2442" i="7"/>
  <c r="C2442" i="7" s="1"/>
  <c r="B2441" i="7"/>
  <c r="C2441" i="7" s="1"/>
  <c r="B2440" i="7"/>
  <c r="C2440" i="7" s="1"/>
  <c r="B2439" i="7"/>
  <c r="C2439" i="7" s="1"/>
  <c r="B2438" i="7"/>
  <c r="C2438" i="7" s="1"/>
  <c r="B2437" i="7"/>
  <c r="C2437" i="7" s="1"/>
  <c r="B2436" i="7"/>
  <c r="C2436" i="7" s="1"/>
  <c r="B2435" i="7"/>
  <c r="C2435" i="7" s="1"/>
  <c r="B2434" i="7"/>
  <c r="C2434" i="7" s="1"/>
  <c r="B2433" i="7"/>
  <c r="C2433" i="7" s="1"/>
  <c r="B2432" i="7"/>
  <c r="C2432" i="7" s="1"/>
  <c r="B2431" i="7"/>
  <c r="C2431" i="7" s="1"/>
  <c r="B2430" i="7"/>
  <c r="C2430" i="7" s="1"/>
  <c r="B2429" i="7"/>
  <c r="C2429" i="7" s="1"/>
  <c r="B2428" i="7"/>
  <c r="C2428" i="7" s="1"/>
  <c r="B2427" i="7"/>
  <c r="C2427" i="7" s="1"/>
  <c r="B2426" i="7"/>
  <c r="C2426" i="7" s="1"/>
  <c r="B2425" i="7"/>
  <c r="C2425" i="7" s="1"/>
  <c r="B2424" i="7"/>
  <c r="C2424" i="7" s="1"/>
  <c r="B2423" i="7"/>
  <c r="C2423" i="7" s="1"/>
  <c r="B2422" i="7"/>
  <c r="C2422" i="7" s="1"/>
  <c r="B2421" i="7"/>
  <c r="C2421" i="7" s="1"/>
  <c r="B2420" i="7"/>
  <c r="C2420" i="7" s="1"/>
  <c r="B2419" i="7"/>
  <c r="C2419" i="7" s="1"/>
  <c r="B2418" i="7"/>
  <c r="C2418" i="7" s="1"/>
  <c r="B2417" i="7"/>
  <c r="C2417" i="7" s="1"/>
  <c r="B2416" i="7"/>
  <c r="C2416" i="7" s="1"/>
  <c r="B2415" i="7"/>
  <c r="C2415" i="7" s="1"/>
  <c r="B2414" i="7"/>
  <c r="C2414" i="7" s="1"/>
  <c r="B2413" i="7"/>
  <c r="C2413" i="7" s="1"/>
  <c r="B2412" i="7"/>
  <c r="C2412" i="7" s="1"/>
  <c r="B2411" i="7"/>
  <c r="C2411" i="7" s="1"/>
  <c r="B2410" i="7"/>
  <c r="C2410" i="7" s="1"/>
  <c r="B2409" i="7"/>
  <c r="C2409" i="7" s="1"/>
  <c r="B2408" i="7"/>
  <c r="C2408" i="7" s="1"/>
  <c r="B2407" i="7"/>
  <c r="C2407" i="7" s="1"/>
  <c r="B2406" i="7"/>
  <c r="C2406" i="7" s="1"/>
  <c r="B2405" i="7"/>
  <c r="C2405" i="7" s="1"/>
  <c r="B2404" i="7"/>
  <c r="C2404" i="7" s="1"/>
  <c r="B2403" i="7"/>
  <c r="C2403" i="7" s="1"/>
  <c r="B2402" i="7"/>
  <c r="C2402" i="7" s="1"/>
  <c r="B2401" i="7"/>
  <c r="C2401" i="7" s="1"/>
  <c r="B2400" i="7"/>
  <c r="C2400" i="7" s="1"/>
  <c r="B2399" i="7"/>
  <c r="C2399" i="7" s="1"/>
  <c r="B2398" i="7"/>
  <c r="C2398" i="7" s="1"/>
  <c r="B2397" i="7"/>
  <c r="C2397" i="7" s="1"/>
  <c r="B2396" i="7"/>
  <c r="C2396" i="7" s="1"/>
  <c r="B2395" i="7"/>
  <c r="C2395" i="7" s="1"/>
  <c r="B2394" i="7"/>
  <c r="C2394" i="7" s="1"/>
  <c r="B2393" i="7"/>
  <c r="C2393" i="7" s="1"/>
  <c r="B2392" i="7"/>
  <c r="C2392" i="7" s="1"/>
  <c r="B2391" i="7"/>
  <c r="C2391" i="7" s="1"/>
  <c r="B2390" i="7"/>
  <c r="C2390" i="7" s="1"/>
  <c r="B2389" i="7"/>
  <c r="C2389" i="7" s="1"/>
  <c r="B2388" i="7"/>
  <c r="C2388" i="7" s="1"/>
  <c r="B2387" i="7"/>
  <c r="C2387" i="7" s="1"/>
  <c r="B2386" i="7"/>
  <c r="C2386" i="7" s="1"/>
  <c r="B2385" i="7"/>
  <c r="C2385" i="7" s="1"/>
  <c r="B2384" i="7"/>
  <c r="C2384" i="7" s="1"/>
  <c r="B2383" i="7"/>
  <c r="C2383" i="7" s="1"/>
  <c r="B2382" i="7"/>
  <c r="C2382" i="7" s="1"/>
  <c r="B2381" i="7"/>
  <c r="C2381" i="7" s="1"/>
  <c r="B2380" i="7"/>
  <c r="C2380" i="7" s="1"/>
  <c r="B2379" i="7"/>
  <c r="C2379" i="7" s="1"/>
  <c r="B2378" i="7"/>
  <c r="C2378" i="7" s="1"/>
  <c r="B2377" i="7"/>
  <c r="C2377" i="7" s="1"/>
  <c r="B2376" i="7"/>
  <c r="C2376" i="7" s="1"/>
  <c r="B2375" i="7"/>
  <c r="C2375" i="7" s="1"/>
  <c r="B2374" i="7"/>
  <c r="C2374" i="7" s="1"/>
  <c r="B2373" i="7"/>
  <c r="C2373" i="7" s="1"/>
  <c r="B2372" i="7"/>
  <c r="C2372" i="7" s="1"/>
  <c r="B2371" i="7"/>
  <c r="C2371" i="7" s="1"/>
  <c r="B2370" i="7"/>
  <c r="C2370" i="7" s="1"/>
  <c r="B2369" i="7"/>
  <c r="C2369" i="7" s="1"/>
  <c r="B2368" i="7"/>
  <c r="C2368" i="7" s="1"/>
  <c r="B2367" i="7"/>
  <c r="C2367" i="7" s="1"/>
  <c r="B2366" i="7"/>
  <c r="C2366" i="7" s="1"/>
  <c r="B2365" i="7"/>
  <c r="C2365" i="7" s="1"/>
  <c r="B2364" i="7"/>
  <c r="C2364" i="7" s="1"/>
  <c r="B2363" i="7"/>
  <c r="C2363" i="7" s="1"/>
  <c r="B2362" i="7"/>
  <c r="C2362" i="7" s="1"/>
  <c r="B2361" i="7"/>
  <c r="C2361" i="7" s="1"/>
  <c r="B2360" i="7"/>
  <c r="C2360" i="7" s="1"/>
  <c r="B2359" i="7"/>
  <c r="C2359" i="7" s="1"/>
  <c r="B2358" i="7"/>
  <c r="C2358" i="7" s="1"/>
  <c r="B2357" i="7"/>
  <c r="C2357" i="7" s="1"/>
  <c r="B2356" i="7"/>
  <c r="C2356" i="7" s="1"/>
  <c r="B2355" i="7"/>
  <c r="C2355" i="7" s="1"/>
  <c r="B2354" i="7"/>
  <c r="C2354" i="7" s="1"/>
  <c r="B2353" i="7"/>
  <c r="C2353" i="7" s="1"/>
  <c r="B2352" i="7"/>
  <c r="C2352" i="7" s="1"/>
  <c r="B2351" i="7"/>
  <c r="C2351" i="7" s="1"/>
  <c r="B2350" i="7"/>
  <c r="C2350" i="7" s="1"/>
  <c r="B2349" i="7"/>
  <c r="C2349" i="7" s="1"/>
  <c r="B2348" i="7"/>
  <c r="C2348" i="7" s="1"/>
  <c r="B2347" i="7"/>
  <c r="C2347" i="7" s="1"/>
  <c r="B2346" i="7"/>
  <c r="C2346" i="7" s="1"/>
  <c r="B2345" i="7"/>
  <c r="C2345" i="7" s="1"/>
  <c r="B2344" i="7"/>
  <c r="C2344" i="7" s="1"/>
  <c r="B2343" i="7"/>
  <c r="C2343" i="7" s="1"/>
  <c r="B2342" i="7"/>
  <c r="C2342" i="7" s="1"/>
  <c r="B2341" i="7"/>
  <c r="C2341" i="7" s="1"/>
  <c r="B2340" i="7"/>
  <c r="C2340" i="7" s="1"/>
  <c r="B2339" i="7"/>
  <c r="C2339" i="7" s="1"/>
  <c r="B2338" i="7"/>
  <c r="C2338" i="7" s="1"/>
  <c r="B2337" i="7"/>
  <c r="C2337" i="7" s="1"/>
  <c r="B2336" i="7"/>
  <c r="C2336" i="7" s="1"/>
  <c r="B2335" i="7"/>
  <c r="C2335" i="7" s="1"/>
  <c r="B2334" i="7"/>
  <c r="C2334" i="7" s="1"/>
  <c r="B2333" i="7"/>
  <c r="C2333" i="7" s="1"/>
  <c r="B2332" i="7"/>
  <c r="C2332" i="7" s="1"/>
  <c r="B2331" i="7"/>
  <c r="C2331" i="7" s="1"/>
  <c r="B2330" i="7"/>
  <c r="C2330" i="7" s="1"/>
  <c r="B2329" i="7"/>
  <c r="C2329" i="7" s="1"/>
  <c r="B2328" i="7"/>
  <c r="C2328" i="7" s="1"/>
  <c r="B2327" i="7"/>
  <c r="C2327" i="7" s="1"/>
  <c r="B2326" i="7"/>
  <c r="C2326" i="7" s="1"/>
  <c r="B2325" i="7"/>
  <c r="C2325" i="7" s="1"/>
  <c r="B2324" i="7"/>
  <c r="C2324" i="7" s="1"/>
  <c r="B2323" i="7"/>
  <c r="C2323" i="7" s="1"/>
  <c r="B2322" i="7"/>
  <c r="C2322" i="7" s="1"/>
  <c r="B2321" i="7"/>
  <c r="C2321" i="7" s="1"/>
  <c r="B2320" i="7"/>
  <c r="C2320" i="7" s="1"/>
  <c r="B2319" i="7"/>
  <c r="C2319" i="7" s="1"/>
  <c r="B2318" i="7"/>
  <c r="C2318" i="7" s="1"/>
  <c r="B2317" i="7"/>
  <c r="C2317" i="7" s="1"/>
  <c r="B2316" i="7"/>
  <c r="C2316" i="7" s="1"/>
  <c r="B2315" i="7"/>
  <c r="C2315" i="7" s="1"/>
  <c r="B2314" i="7"/>
  <c r="C2314" i="7" s="1"/>
  <c r="B2313" i="7"/>
  <c r="C2313" i="7" s="1"/>
  <c r="B2312" i="7"/>
  <c r="C2312" i="7" s="1"/>
  <c r="B2311" i="7"/>
  <c r="C2311" i="7" s="1"/>
  <c r="B2310" i="7"/>
  <c r="C2310" i="7" s="1"/>
  <c r="B2309" i="7"/>
  <c r="C2309" i="7" s="1"/>
  <c r="B2308" i="7"/>
  <c r="C2308" i="7" s="1"/>
  <c r="B2307" i="7"/>
  <c r="C2307" i="7" s="1"/>
  <c r="B2306" i="7"/>
  <c r="C2306" i="7" s="1"/>
  <c r="B2305" i="7"/>
  <c r="C2305" i="7" s="1"/>
  <c r="B2304" i="7"/>
  <c r="C2304" i="7" s="1"/>
  <c r="B2303" i="7"/>
  <c r="C2303" i="7" s="1"/>
  <c r="B2302" i="7"/>
  <c r="C2302" i="7" s="1"/>
  <c r="B2301" i="7"/>
  <c r="C2301" i="7" s="1"/>
  <c r="B2300" i="7"/>
  <c r="C2300" i="7" s="1"/>
  <c r="B2299" i="7"/>
  <c r="C2299" i="7" s="1"/>
  <c r="B2298" i="7"/>
  <c r="C2298" i="7" s="1"/>
  <c r="B2297" i="7"/>
  <c r="C2297" i="7" s="1"/>
  <c r="B2296" i="7"/>
  <c r="C2296" i="7" s="1"/>
  <c r="B2295" i="7"/>
  <c r="C2295" i="7" s="1"/>
  <c r="B2294" i="7"/>
  <c r="C2294" i="7" s="1"/>
  <c r="B2293" i="7"/>
  <c r="C2293" i="7" s="1"/>
  <c r="B2292" i="7"/>
  <c r="C2292" i="7" s="1"/>
  <c r="B2291" i="7"/>
  <c r="C2291" i="7" s="1"/>
  <c r="B2290" i="7"/>
  <c r="C2290" i="7" s="1"/>
  <c r="B2289" i="7"/>
  <c r="C2289" i="7" s="1"/>
  <c r="B2288" i="7"/>
  <c r="C2288" i="7" s="1"/>
  <c r="B2287" i="7"/>
  <c r="C2287" i="7" s="1"/>
  <c r="B2286" i="7"/>
  <c r="C2286" i="7" s="1"/>
  <c r="B2285" i="7"/>
  <c r="C2285" i="7" s="1"/>
  <c r="B2284" i="7"/>
  <c r="C2284" i="7" s="1"/>
  <c r="B2283" i="7"/>
  <c r="C2283" i="7" s="1"/>
  <c r="B2282" i="7"/>
  <c r="C2282" i="7" s="1"/>
  <c r="B2281" i="7"/>
  <c r="C2281" i="7" s="1"/>
  <c r="B2280" i="7"/>
  <c r="C2280" i="7" s="1"/>
  <c r="B2279" i="7"/>
  <c r="C2279" i="7" s="1"/>
  <c r="B2278" i="7"/>
  <c r="C2278" i="7" s="1"/>
  <c r="B2277" i="7"/>
  <c r="C2277" i="7" s="1"/>
  <c r="B2276" i="7"/>
  <c r="C2276" i="7" s="1"/>
  <c r="B2275" i="7"/>
  <c r="C2275" i="7" s="1"/>
  <c r="B2274" i="7"/>
  <c r="C2274" i="7" s="1"/>
  <c r="B2273" i="7"/>
  <c r="C2273" i="7" s="1"/>
  <c r="B2272" i="7"/>
  <c r="C2272" i="7" s="1"/>
  <c r="B2271" i="7"/>
  <c r="C2271" i="7" s="1"/>
  <c r="B2270" i="7"/>
  <c r="C2270" i="7" s="1"/>
  <c r="B2269" i="7"/>
  <c r="C2269" i="7" s="1"/>
  <c r="B2268" i="7"/>
  <c r="C2268" i="7" s="1"/>
  <c r="B2267" i="7"/>
  <c r="C2267" i="7" s="1"/>
  <c r="B2266" i="7"/>
  <c r="C2266" i="7" s="1"/>
  <c r="B2265" i="7"/>
  <c r="C2265" i="7" s="1"/>
  <c r="B2264" i="7"/>
  <c r="C2264" i="7" s="1"/>
  <c r="B2263" i="7"/>
  <c r="C2263" i="7" s="1"/>
  <c r="B2262" i="7"/>
  <c r="C2262" i="7" s="1"/>
  <c r="B2261" i="7"/>
  <c r="C2261" i="7" s="1"/>
  <c r="B2260" i="7"/>
  <c r="C2260" i="7" s="1"/>
  <c r="B2259" i="7"/>
  <c r="C2259" i="7" s="1"/>
  <c r="B2258" i="7"/>
  <c r="C2258" i="7" s="1"/>
  <c r="B2257" i="7"/>
  <c r="C2257" i="7" s="1"/>
  <c r="B2256" i="7"/>
  <c r="C2256" i="7" s="1"/>
  <c r="B2255" i="7"/>
  <c r="C2255" i="7" s="1"/>
  <c r="B2254" i="7"/>
  <c r="C2254" i="7" s="1"/>
  <c r="B2253" i="7"/>
  <c r="C2253" i="7" s="1"/>
  <c r="B2252" i="7"/>
  <c r="C2252" i="7" s="1"/>
  <c r="B2251" i="7"/>
  <c r="C2251" i="7" s="1"/>
  <c r="B2250" i="7"/>
  <c r="C2250" i="7" s="1"/>
  <c r="B2249" i="7"/>
  <c r="C2249" i="7" s="1"/>
  <c r="B2248" i="7"/>
  <c r="C2248" i="7" s="1"/>
  <c r="B2247" i="7"/>
  <c r="C2247" i="7" s="1"/>
  <c r="B2246" i="7"/>
  <c r="C2246" i="7" s="1"/>
  <c r="B2245" i="7"/>
  <c r="C2245" i="7" s="1"/>
  <c r="B2244" i="7"/>
  <c r="C2244" i="7" s="1"/>
  <c r="B2243" i="7"/>
  <c r="C2243" i="7" s="1"/>
  <c r="B2242" i="7"/>
  <c r="C2242" i="7" s="1"/>
  <c r="B2241" i="7"/>
  <c r="C2241" i="7" s="1"/>
  <c r="B2240" i="7"/>
  <c r="C2240" i="7" s="1"/>
  <c r="B2239" i="7"/>
  <c r="C2239" i="7" s="1"/>
  <c r="B2238" i="7"/>
  <c r="C2238" i="7" s="1"/>
  <c r="B2237" i="7"/>
  <c r="C2237" i="7" s="1"/>
  <c r="B2236" i="7"/>
  <c r="C2236" i="7" s="1"/>
  <c r="B2235" i="7"/>
  <c r="C2235" i="7" s="1"/>
  <c r="B2234" i="7"/>
  <c r="C2234" i="7" s="1"/>
  <c r="B2233" i="7"/>
  <c r="C2233" i="7" s="1"/>
  <c r="B2232" i="7"/>
  <c r="C2232" i="7" s="1"/>
  <c r="B2231" i="7"/>
  <c r="C2231" i="7" s="1"/>
  <c r="B2230" i="7"/>
  <c r="C2230" i="7" s="1"/>
  <c r="B2229" i="7"/>
  <c r="C2229" i="7" s="1"/>
  <c r="B2228" i="7"/>
  <c r="C2228" i="7" s="1"/>
  <c r="B2227" i="7"/>
  <c r="C2227" i="7" s="1"/>
  <c r="B2226" i="7"/>
  <c r="C2226" i="7" s="1"/>
  <c r="B2225" i="7"/>
  <c r="C2225" i="7" s="1"/>
  <c r="B2224" i="7"/>
  <c r="C2224" i="7" s="1"/>
  <c r="B2223" i="7"/>
  <c r="C2223" i="7" s="1"/>
  <c r="B2222" i="7"/>
  <c r="C2222" i="7" s="1"/>
  <c r="B2221" i="7"/>
  <c r="C2221" i="7" s="1"/>
  <c r="B2220" i="7"/>
  <c r="C2220" i="7" s="1"/>
  <c r="B2219" i="7"/>
  <c r="C2219" i="7" s="1"/>
  <c r="B2218" i="7"/>
  <c r="C2218" i="7" s="1"/>
  <c r="B2217" i="7"/>
  <c r="C2217" i="7" s="1"/>
  <c r="B2216" i="7"/>
  <c r="C2216" i="7" s="1"/>
  <c r="B2215" i="7"/>
  <c r="C2215" i="7" s="1"/>
  <c r="B2214" i="7"/>
  <c r="C2214" i="7" s="1"/>
  <c r="B2213" i="7"/>
  <c r="C2213" i="7" s="1"/>
  <c r="B2212" i="7"/>
  <c r="C2212" i="7" s="1"/>
  <c r="B2211" i="7"/>
  <c r="C2211" i="7" s="1"/>
  <c r="B2210" i="7"/>
  <c r="C2210" i="7" s="1"/>
  <c r="B2209" i="7"/>
  <c r="C2209" i="7" s="1"/>
  <c r="B2208" i="7"/>
  <c r="C2208" i="7" s="1"/>
  <c r="B2207" i="7"/>
  <c r="C2207" i="7" s="1"/>
  <c r="B2206" i="7"/>
  <c r="C2206" i="7" s="1"/>
  <c r="B2205" i="7"/>
  <c r="C2205" i="7" s="1"/>
  <c r="B2204" i="7"/>
  <c r="C2204" i="7" s="1"/>
  <c r="B2203" i="7"/>
  <c r="C2203" i="7" s="1"/>
  <c r="B2202" i="7"/>
  <c r="C2202" i="7" s="1"/>
  <c r="B2201" i="7"/>
  <c r="C2201" i="7" s="1"/>
  <c r="B2200" i="7"/>
  <c r="C2200" i="7" s="1"/>
  <c r="B2199" i="7"/>
  <c r="C2199" i="7" s="1"/>
  <c r="B2198" i="7"/>
  <c r="C2198" i="7" s="1"/>
  <c r="B2197" i="7"/>
  <c r="C2197" i="7" s="1"/>
  <c r="B2196" i="7"/>
  <c r="C2196" i="7" s="1"/>
  <c r="B2195" i="7"/>
  <c r="C2195" i="7" s="1"/>
  <c r="B2194" i="7"/>
  <c r="C2194" i="7" s="1"/>
  <c r="B2193" i="7"/>
  <c r="C2193" i="7" s="1"/>
  <c r="B2192" i="7"/>
  <c r="C2192" i="7" s="1"/>
  <c r="B2191" i="7"/>
  <c r="C2191" i="7" s="1"/>
  <c r="B2190" i="7"/>
  <c r="C2190" i="7" s="1"/>
  <c r="B2189" i="7"/>
  <c r="C2189" i="7" s="1"/>
  <c r="B2188" i="7"/>
  <c r="C2188" i="7" s="1"/>
  <c r="B2187" i="7"/>
  <c r="C2187" i="7" s="1"/>
  <c r="B2186" i="7"/>
  <c r="C2186" i="7" s="1"/>
  <c r="B2185" i="7"/>
  <c r="C2185" i="7" s="1"/>
  <c r="B2184" i="7"/>
  <c r="C2184" i="7" s="1"/>
  <c r="B2183" i="7"/>
  <c r="C2183" i="7" s="1"/>
  <c r="B2182" i="7"/>
  <c r="C2182" i="7" s="1"/>
  <c r="B2181" i="7"/>
  <c r="C2181" i="7" s="1"/>
  <c r="B2180" i="7"/>
  <c r="C2180" i="7" s="1"/>
  <c r="B2179" i="7"/>
  <c r="C2179" i="7" s="1"/>
  <c r="B2178" i="7"/>
  <c r="C2178" i="7" s="1"/>
  <c r="B2177" i="7"/>
  <c r="C2177" i="7" s="1"/>
  <c r="B2176" i="7"/>
  <c r="C2176" i="7" s="1"/>
  <c r="B2175" i="7"/>
  <c r="C2175" i="7" s="1"/>
  <c r="B2174" i="7"/>
  <c r="C2174" i="7" s="1"/>
  <c r="B2173" i="7"/>
  <c r="C2173" i="7" s="1"/>
  <c r="B2172" i="7"/>
  <c r="C2172" i="7" s="1"/>
  <c r="B2171" i="7"/>
  <c r="C2171" i="7" s="1"/>
  <c r="B2170" i="7"/>
  <c r="C2170" i="7" s="1"/>
  <c r="B2169" i="7"/>
  <c r="C2169" i="7" s="1"/>
  <c r="B2168" i="7"/>
  <c r="C2168" i="7" s="1"/>
  <c r="B2167" i="7"/>
  <c r="C2167" i="7" s="1"/>
  <c r="B2166" i="7"/>
  <c r="C2166" i="7" s="1"/>
  <c r="B2165" i="7"/>
  <c r="C2165" i="7" s="1"/>
  <c r="B2164" i="7"/>
  <c r="C2164" i="7" s="1"/>
  <c r="B2163" i="7"/>
  <c r="C2163" i="7" s="1"/>
  <c r="B2162" i="7"/>
  <c r="C2162" i="7" s="1"/>
  <c r="B2161" i="7"/>
  <c r="C2161" i="7" s="1"/>
  <c r="B2160" i="7"/>
  <c r="C2160" i="7" s="1"/>
  <c r="B2159" i="7"/>
  <c r="C2159" i="7" s="1"/>
  <c r="B2158" i="7"/>
  <c r="C2158" i="7" s="1"/>
  <c r="B2157" i="7"/>
  <c r="C2157" i="7" s="1"/>
  <c r="B2156" i="7"/>
  <c r="C2156" i="7" s="1"/>
  <c r="B2155" i="7"/>
  <c r="C2155" i="7" s="1"/>
  <c r="B2154" i="7"/>
  <c r="C2154" i="7" s="1"/>
  <c r="B2153" i="7"/>
  <c r="C2153" i="7" s="1"/>
  <c r="B2152" i="7"/>
  <c r="C2152" i="7" s="1"/>
  <c r="B2151" i="7"/>
  <c r="C2151" i="7" s="1"/>
  <c r="B2150" i="7"/>
  <c r="C2150" i="7" s="1"/>
  <c r="B2149" i="7"/>
  <c r="C2149" i="7" s="1"/>
  <c r="B2148" i="7"/>
  <c r="C2148" i="7" s="1"/>
  <c r="B2147" i="7"/>
  <c r="C2147" i="7" s="1"/>
  <c r="B2146" i="7"/>
  <c r="C2146" i="7" s="1"/>
  <c r="B2145" i="7"/>
  <c r="C2145" i="7" s="1"/>
  <c r="B2144" i="7"/>
  <c r="C2144" i="7" s="1"/>
  <c r="B2143" i="7"/>
  <c r="C2143" i="7" s="1"/>
  <c r="B2142" i="7"/>
  <c r="C2142" i="7" s="1"/>
  <c r="B2141" i="7"/>
  <c r="C2141" i="7" s="1"/>
  <c r="B2140" i="7"/>
  <c r="C2140" i="7" s="1"/>
  <c r="B2139" i="7"/>
  <c r="C2139" i="7" s="1"/>
  <c r="B2138" i="7"/>
  <c r="C2138" i="7" s="1"/>
  <c r="B2137" i="7"/>
  <c r="C2137" i="7" s="1"/>
  <c r="B2136" i="7"/>
  <c r="C2136" i="7" s="1"/>
  <c r="B2135" i="7"/>
  <c r="C2135" i="7" s="1"/>
  <c r="B2134" i="7"/>
  <c r="C2134" i="7" s="1"/>
  <c r="B2133" i="7"/>
  <c r="C2133" i="7" s="1"/>
  <c r="B2132" i="7"/>
  <c r="C2132" i="7" s="1"/>
  <c r="B2131" i="7"/>
  <c r="C2131" i="7" s="1"/>
  <c r="B2130" i="7"/>
  <c r="C2130" i="7" s="1"/>
  <c r="B2129" i="7"/>
  <c r="C2129" i="7" s="1"/>
  <c r="B2128" i="7"/>
  <c r="C2128" i="7" s="1"/>
  <c r="B2127" i="7"/>
  <c r="C2127" i="7" s="1"/>
  <c r="B2126" i="7"/>
  <c r="C2126" i="7" s="1"/>
  <c r="B2125" i="7"/>
  <c r="C2125" i="7" s="1"/>
  <c r="B2124" i="7"/>
  <c r="C2124" i="7" s="1"/>
  <c r="B2123" i="7"/>
  <c r="C2123" i="7" s="1"/>
  <c r="B2122" i="7"/>
  <c r="C2122" i="7" s="1"/>
  <c r="B2121" i="7"/>
  <c r="C2121" i="7" s="1"/>
  <c r="B2120" i="7"/>
  <c r="C2120" i="7" s="1"/>
  <c r="B2119" i="7"/>
  <c r="C2119" i="7" s="1"/>
  <c r="B2118" i="7"/>
  <c r="C2118" i="7" s="1"/>
  <c r="B2117" i="7"/>
  <c r="C2117" i="7" s="1"/>
  <c r="B2116" i="7"/>
  <c r="C2116" i="7" s="1"/>
  <c r="B2115" i="7"/>
  <c r="C2115" i="7" s="1"/>
  <c r="B2114" i="7"/>
  <c r="C2114" i="7" s="1"/>
  <c r="B2113" i="7"/>
  <c r="C2113" i="7" s="1"/>
  <c r="B2112" i="7"/>
  <c r="C2112" i="7" s="1"/>
  <c r="B2111" i="7"/>
  <c r="C2111" i="7" s="1"/>
  <c r="B2110" i="7"/>
  <c r="C2110" i="7" s="1"/>
  <c r="B2109" i="7"/>
  <c r="C2109" i="7" s="1"/>
  <c r="B2108" i="7"/>
  <c r="C2108" i="7" s="1"/>
  <c r="B2107" i="7"/>
  <c r="C2107" i="7" s="1"/>
  <c r="B2106" i="7"/>
  <c r="C2106" i="7" s="1"/>
  <c r="B2105" i="7"/>
  <c r="C2105" i="7" s="1"/>
  <c r="B2104" i="7"/>
  <c r="C2104" i="7" s="1"/>
  <c r="B2103" i="7"/>
  <c r="C2103" i="7" s="1"/>
  <c r="B2102" i="7"/>
  <c r="C2102" i="7" s="1"/>
  <c r="B2101" i="7"/>
  <c r="C2101" i="7" s="1"/>
  <c r="B2100" i="7"/>
  <c r="C2100" i="7" s="1"/>
  <c r="B2099" i="7"/>
  <c r="C2099" i="7" s="1"/>
  <c r="B2098" i="7"/>
  <c r="C2098" i="7" s="1"/>
  <c r="B2097" i="7"/>
  <c r="C2097" i="7" s="1"/>
  <c r="B2096" i="7"/>
  <c r="C2096" i="7" s="1"/>
  <c r="B2095" i="7"/>
  <c r="C2095" i="7" s="1"/>
  <c r="B2094" i="7"/>
  <c r="C2094" i="7" s="1"/>
  <c r="B2093" i="7"/>
  <c r="C2093" i="7" s="1"/>
  <c r="B2092" i="7"/>
  <c r="C2092" i="7" s="1"/>
  <c r="B2091" i="7"/>
  <c r="C2091" i="7" s="1"/>
  <c r="B2090" i="7"/>
  <c r="C2090" i="7" s="1"/>
  <c r="B2089" i="7"/>
  <c r="C2089" i="7" s="1"/>
  <c r="B2088" i="7"/>
  <c r="C2088" i="7" s="1"/>
  <c r="B2087" i="7"/>
  <c r="C2087" i="7" s="1"/>
  <c r="B2086" i="7"/>
  <c r="C2086" i="7" s="1"/>
  <c r="B2085" i="7"/>
  <c r="C2085" i="7" s="1"/>
  <c r="B2084" i="7"/>
  <c r="C2084" i="7" s="1"/>
  <c r="B2083" i="7"/>
  <c r="C2083" i="7" s="1"/>
  <c r="B2082" i="7"/>
  <c r="C2082" i="7" s="1"/>
  <c r="B2081" i="7"/>
  <c r="C2081" i="7" s="1"/>
  <c r="B2080" i="7"/>
  <c r="C2080" i="7" s="1"/>
  <c r="B2079" i="7"/>
  <c r="C2079" i="7" s="1"/>
  <c r="B2078" i="7"/>
  <c r="C2078" i="7" s="1"/>
  <c r="B2077" i="7"/>
  <c r="C2077" i="7" s="1"/>
  <c r="B2076" i="7"/>
  <c r="C2076" i="7" s="1"/>
  <c r="B2075" i="7"/>
  <c r="C2075" i="7" s="1"/>
  <c r="B2074" i="7"/>
  <c r="C2074" i="7" s="1"/>
  <c r="B2073" i="7"/>
  <c r="C2073" i="7" s="1"/>
  <c r="B2072" i="7"/>
  <c r="C2072" i="7" s="1"/>
  <c r="B2071" i="7"/>
  <c r="C2071" i="7" s="1"/>
  <c r="B2070" i="7"/>
  <c r="C2070" i="7" s="1"/>
  <c r="B2069" i="7"/>
  <c r="C2069" i="7" s="1"/>
  <c r="B2068" i="7"/>
  <c r="C2068" i="7" s="1"/>
  <c r="B2067" i="7"/>
  <c r="C2067" i="7" s="1"/>
  <c r="B2066" i="7"/>
  <c r="C2066" i="7" s="1"/>
  <c r="B2065" i="7"/>
  <c r="C2065" i="7" s="1"/>
  <c r="B2064" i="7"/>
  <c r="C2064" i="7" s="1"/>
  <c r="B2063" i="7"/>
  <c r="C2063" i="7" s="1"/>
  <c r="B2062" i="7"/>
  <c r="C2062" i="7" s="1"/>
  <c r="B2061" i="7"/>
  <c r="C2061" i="7" s="1"/>
  <c r="B2060" i="7"/>
  <c r="C2060" i="7" s="1"/>
  <c r="B2059" i="7"/>
  <c r="C2059" i="7" s="1"/>
  <c r="B2058" i="7"/>
  <c r="C2058" i="7" s="1"/>
  <c r="B2057" i="7"/>
  <c r="C2057" i="7" s="1"/>
  <c r="B2056" i="7"/>
  <c r="C2056" i="7" s="1"/>
  <c r="B2055" i="7"/>
  <c r="C2055" i="7" s="1"/>
  <c r="B2054" i="7"/>
  <c r="C2054" i="7" s="1"/>
  <c r="B2053" i="7"/>
  <c r="C2053" i="7" s="1"/>
  <c r="B2052" i="7"/>
  <c r="C2052" i="7" s="1"/>
  <c r="B2051" i="7"/>
  <c r="C2051" i="7" s="1"/>
  <c r="B2050" i="7"/>
  <c r="C2050" i="7" s="1"/>
  <c r="B2049" i="7"/>
  <c r="C2049" i="7" s="1"/>
  <c r="B2048" i="7"/>
  <c r="C2048" i="7" s="1"/>
  <c r="B2047" i="7"/>
  <c r="C2047" i="7" s="1"/>
  <c r="B2046" i="7"/>
  <c r="C2046" i="7" s="1"/>
  <c r="B2045" i="7"/>
  <c r="C2045" i="7" s="1"/>
  <c r="B2044" i="7"/>
  <c r="C2044" i="7" s="1"/>
  <c r="B2043" i="7"/>
  <c r="C2043" i="7" s="1"/>
  <c r="B2042" i="7"/>
  <c r="C2042" i="7" s="1"/>
  <c r="B2041" i="7"/>
  <c r="C2041" i="7" s="1"/>
  <c r="B2040" i="7"/>
  <c r="C2040" i="7" s="1"/>
  <c r="B2039" i="7"/>
  <c r="C2039" i="7" s="1"/>
  <c r="B2038" i="7"/>
  <c r="C2038" i="7" s="1"/>
  <c r="B2037" i="7"/>
  <c r="C2037" i="7" s="1"/>
  <c r="B2036" i="7"/>
  <c r="C2036" i="7" s="1"/>
  <c r="B2035" i="7"/>
  <c r="C2035" i="7" s="1"/>
  <c r="B2034" i="7"/>
  <c r="C2034" i="7" s="1"/>
  <c r="B2033" i="7"/>
  <c r="C2033" i="7" s="1"/>
  <c r="B2032" i="7"/>
  <c r="C2032" i="7" s="1"/>
  <c r="B2031" i="7"/>
  <c r="C2031" i="7" s="1"/>
  <c r="B2030" i="7"/>
  <c r="C2030" i="7" s="1"/>
  <c r="B2029" i="7"/>
  <c r="C2029" i="7" s="1"/>
  <c r="B2028" i="7"/>
  <c r="C2028" i="7" s="1"/>
  <c r="B2027" i="7"/>
  <c r="C2027" i="7" s="1"/>
  <c r="B2026" i="7"/>
  <c r="C2026" i="7" s="1"/>
  <c r="B2025" i="7"/>
  <c r="C2025" i="7" s="1"/>
  <c r="B2024" i="7"/>
  <c r="C2024" i="7" s="1"/>
  <c r="B2023" i="7"/>
  <c r="C2023" i="7" s="1"/>
  <c r="B2022" i="7"/>
  <c r="C2022" i="7" s="1"/>
  <c r="B2021" i="7"/>
  <c r="C2021" i="7" s="1"/>
  <c r="B2020" i="7"/>
  <c r="C2020" i="7" s="1"/>
  <c r="B2019" i="7"/>
  <c r="C2019" i="7" s="1"/>
  <c r="B2018" i="7"/>
  <c r="C2018" i="7" s="1"/>
  <c r="B2017" i="7"/>
  <c r="C2017" i="7" s="1"/>
  <c r="B2016" i="7"/>
  <c r="C2016" i="7" s="1"/>
  <c r="B2015" i="7"/>
  <c r="C2015" i="7" s="1"/>
  <c r="B2014" i="7"/>
  <c r="C2014" i="7" s="1"/>
  <c r="B2013" i="7"/>
  <c r="C2013" i="7" s="1"/>
  <c r="B2012" i="7"/>
  <c r="C2012" i="7" s="1"/>
  <c r="B2011" i="7"/>
  <c r="C2011" i="7" s="1"/>
  <c r="B2010" i="7"/>
  <c r="C2010" i="7" s="1"/>
  <c r="B2009" i="7"/>
  <c r="C2009" i="7" s="1"/>
  <c r="B2008" i="7"/>
  <c r="C2008" i="7" s="1"/>
  <c r="B2007" i="7"/>
  <c r="C2007" i="7" s="1"/>
  <c r="B2006" i="7"/>
  <c r="C2006" i="7" s="1"/>
  <c r="B2005" i="7"/>
  <c r="C2005" i="7" s="1"/>
  <c r="B2004" i="7"/>
  <c r="C2004" i="7" s="1"/>
  <c r="B2003" i="7"/>
  <c r="C2003" i="7" s="1"/>
  <c r="B2002" i="7"/>
  <c r="C2002" i="7" s="1"/>
  <c r="B2001" i="7"/>
  <c r="C2001" i="7" s="1"/>
  <c r="B2000" i="7"/>
  <c r="C2000" i="7" s="1"/>
  <c r="B1999" i="7"/>
  <c r="C1999" i="7" s="1"/>
  <c r="B1998" i="7"/>
  <c r="C1998" i="7" s="1"/>
  <c r="B1997" i="7"/>
  <c r="C1997" i="7" s="1"/>
  <c r="B1996" i="7"/>
  <c r="C1996" i="7" s="1"/>
  <c r="B1995" i="7"/>
  <c r="C1995" i="7" s="1"/>
  <c r="B1994" i="7"/>
  <c r="C1994" i="7" s="1"/>
  <c r="B1993" i="7"/>
  <c r="C1993" i="7" s="1"/>
  <c r="B1992" i="7"/>
  <c r="C1992" i="7" s="1"/>
  <c r="B1991" i="7"/>
  <c r="C1991" i="7" s="1"/>
  <c r="B1990" i="7"/>
  <c r="C1990" i="7" s="1"/>
  <c r="B1989" i="7"/>
  <c r="C1989" i="7" s="1"/>
  <c r="B1988" i="7"/>
  <c r="C1988" i="7" s="1"/>
  <c r="B1987" i="7"/>
  <c r="C1987" i="7" s="1"/>
  <c r="B1986" i="7"/>
  <c r="C1986" i="7" s="1"/>
  <c r="B1985" i="7"/>
  <c r="C1985" i="7" s="1"/>
  <c r="B1984" i="7"/>
  <c r="C1984" i="7" s="1"/>
  <c r="B1983" i="7"/>
  <c r="C1983" i="7" s="1"/>
  <c r="B1982" i="7"/>
  <c r="C1982" i="7" s="1"/>
  <c r="B1981" i="7"/>
  <c r="C1981" i="7" s="1"/>
  <c r="B1980" i="7"/>
  <c r="C1980" i="7" s="1"/>
  <c r="B1979" i="7"/>
  <c r="C1979" i="7" s="1"/>
  <c r="B1978" i="7"/>
  <c r="C1978" i="7" s="1"/>
  <c r="B1977" i="7"/>
  <c r="C1977" i="7" s="1"/>
  <c r="B1976" i="7"/>
  <c r="C1976" i="7" s="1"/>
  <c r="B1975" i="7"/>
  <c r="C1975" i="7" s="1"/>
  <c r="B1974" i="7"/>
  <c r="C1974" i="7" s="1"/>
  <c r="B1973" i="7"/>
  <c r="C1973" i="7" s="1"/>
  <c r="B1972" i="7"/>
  <c r="C1972" i="7" s="1"/>
  <c r="B1971" i="7"/>
  <c r="C1971" i="7" s="1"/>
  <c r="B1970" i="7"/>
  <c r="C1970" i="7" s="1"/>
  <c r="B1969" i="7"/>
  <c r="C1969" i="7" s="1"/>
  <c r="B1968" i="7"/>
  <c r="C1968" i="7" s="1"/>
  <c r="B1967" i="7"/>
  <c r="C1967" i="7" s="1"/>
  <c r="B1966" i="7"/>
  <c r="C1966" i="7" s="1"/>
  <c r="B1965" i="7"/>
  <c r="C1965" i="7" s="1"/>
  <c r="B1964" i="7"/>
  <c r="C1964" i="7" s="1"/>
  <c r="B1963" i="7"/>
  <c r="C1963" i="7" s="1"/>
  <c r="B1962" i="7"/>
  <c r="C1962" i="7" s="1"/>
  <c r="B1961" i="7"/>
  <c r="C1961" i="7" s="1"/>
  <c r="B1960" i="7"/>
  <c r="C1960" i="7" s="1"/>
  <c r="B1959" i="7"/>
  <c r="C1959" i="7" s="1"/>
  <c r="B1958" i="7"/>
  <c r="C1958" i="7" s="1"/>
  <c r="B1957" i="7"/>
  <c r="C1957" i="7" s="1"/>
  <c r="B1956" i="7"/>
  <c r="C1956" i="7" s="1"/>
  <c r="B1955" i="7"/>
  <c r="C1955" i="7" s="1"/>
  <c r="B1954" i="7"/>
  <c r="C1954" i="7" s="1"/>
  <c r="B1953" i="7"/>
  <c r="C1953" i="7" s="1"/>
  <c r="B1952" i="7"/>
  <c r="C1952" i="7" s="1"/>
  <c r="B1951" i="7"/>
  <c r="C1951" i="7" s="1"/>
  <c r="B1950" i="7"/>
  <c r="C1950" i="7" s="1"/>
  <c r="B1949" i="7"/>
  <c r="C1949" i="7" s="1"/>
  <c r="B1948" i="7"/>
  <c r="C1948" i="7" s="1"/>
  <c r="B1947" i="7"/>
  <c r="C1947" i="7" s="1"/>
  <c r="B1946" i="7"/>
  <c r="C1946" i="7" s="1"/>
  <c r="B1945" i="7"/>
  <c r="C1945" i="7" s="1"/>
  <c r="B1944" i="7"/>
  <c r="C1944" i="7" s="1"/>
  <c r="B1943" i="7"/>
  <c r="C1943" i="7" s="1"/>
  <c r="B1942" i="7"/>
  <c r="C1942" i="7" s="1"/>
  <c r="B1941" i="7"/>
  <c r="C1941" i="7" s="1"/>
  <c r="B1940" i="7"/>
  <c r="C1940" i="7" s="1"/>
  <c r="B1939" i="7"/>
  <c r="C1939" i="7" s="1"/>
  <c r="B1938" i="7"/>
  <c r="C1938" i="7" s="1"/>
  <c r="B1937" i="7"/>
  <c r="C1937" i="7" s="1"/>
  <c r="B1936" i="7"/>
  <c r="C1936" i="7" s="1"/>
  <c r="B1935" i="7"/>
  <c r="C1935" i="7" s="1"/>
  <c r="B1934" i="7"/>
  <c r="C1934" i="7" s="1"/>
  <c r="B1933" i="7"/>
  <c r="C1933" i="7" s="1"/>
  <c r="B1932" i="7"/>
  <c r="C1932" i="7" s="1"/>
  <c r="B1931" i="7"/>
  <c r="C1931" i="7" s="1"/>
  <c r="B1930" i="7"/>
  <c r="C1930" i="7" s="1"/>
  <c r="B1929" i="7"/>
  <c r="C1929" i="7" s="1"/>
  <c r="B1928" i="7"/>
  <c r="C1928" i="7" s="1"/>
  <c r="B1927" i="7"/>
  <c r="C1927" i="7" s="1"/>
  <c r="B1926" i="7"/>
  <c r="C1926" i="7" s="1"/>
  <c r="B1925" i="7"/>
  <c r="C1925" i="7" s="1"/>
  <c r="B1924" i="7"/>
  <c r="C1924" i="7" s="1"/>
  <c r="B1923" i="7"/>
  <c r="C1923" i="7" s="1"/>
  <c r="B1922" i="7"/>
  <c r="C1922" i="7" s="1"/>
  <c r="B1921" i="7"/>
  <c r="C1921" i="7" s="1"/>
  <c r="B1920" i="7"/>
  <c r="C1920" i="7" s="1"/>
  <c r="B1919" i="7"/>
  <c r="C1919" i="7" s="1"/>
  <c r="B1918" i="7"/>
  <c r="C1918" i="7" s="1"/>
  <c r="B1917" i="7"/>
  <c r="C1917" i="7" s="1"/>
  <c r="B1916" i="7"/>
  <c r="C1916" i="7" s="1"/>
  <c r="B1915" i="7"/>
  <c r="C1915" i="7" s="1"/>
  <c r="B1914" i="7"/>
  <c r="C1914" i="7" s="1"/>
  <c r="B1913" i="7"/>
  <c r="C1913" i="7" s="1"/>
  <c r="B1912" i="7"/>
  <c r="C1912" i="7" s="1"/>
  <c r="B1911" i="7"/>
  <c r="C1911" i="7" s="1"/>
  <c r="B1910" i="7"/>
  <c r="C1910" i="7" s="1"/>
  <c r="B1909" i="7"/>
  <c r="C1909" i="7" s="1"/>
  <c r="B1908" i="7"/>
  <c r="C1908" i="7" s="1"/>
  <c r="B1907" i="7"/>
  <c r="C1907" i="7" s="1"/>
  <c r="B1906" i="7"/>
  <c r="C1906" i="7" s="1"/>
  <c r="B1905" i="7"/>
  <c r="C1905" i="7" s="1"/>
  <c r="B1904" i="7"/>
  <c r="C1904" i="7" s="1"/>
  <c r="B1903" i="7"/>
  <c r="C1903" i="7" s="1"/>
  <c r="B1902" i="7"/>
  <c r="C1902" i="7" s="1"/>
  <c r="B1901" i="7"/>
  <c r="C1901" i="7" s="1"/>
  <c r="B1900" i="7"/>
  <c r="C1900" i="7" s="1"/>
  <c r="B1899" i="7"/>
  <c r="C1899" i="7" s="1"/>
  <c r="B1898" i="7"/>
  <c r="C1898" i="7" s="1"/>
  <c r="B1897" i="7"/>
  <c r="C1897" i="7" s="1"/>
  <c r="B1896" i="7"/>
  <c r="C1896" i="7" s="1"/>
  <c r="B1895" i="7"/>
  <c r="C1895" i="7" s="1"/>
  <c r="B1894" i="7"/>
  <c r="C1894" i="7" s="1"/>
  <c r="B1893" i="7"/>
  <c r="C1893" i="7" s="1"/>
  <c r="B1892" i="7"/>
  <c r="C1892" i="7" s="1"/>
  <c r="B1891" i="7"/>
  <c r="C1891" i="7" s="1"/>
  <c r="B1890" i="7"/>
  <c r="C1890" i="7" s="1"/>
  <c r="B1889" i="7"/>
  <c r="C1889" i="7" s="1"/>
  <c r="B1888" i="7"/>
  <c r="C1888" i="7" s="1"/>
  <c r="B1887" i="7"/>
  <c r="C1887" i="7" s="1"/>
  <c r="B1886" i="7"/>
  <c r="C1886" i="7" s="1"/>
  <c r="B1885" i="7"/>
  <c r="C1885" i="7" s="1"/>
  <c r="B1884" i="7"/>
  <c r="C1884" i="7" s="1"/>
  <c r="B1883" i="7"/>
  <c r="C1883" i="7" s="1"/>
  <c r="B1882" i="7"/>
  <c r="C1882" i="7" s="1"/>
  <c r="B1881" i="7"/>
  <c r="C1881" i="7" s="1"/>
  <c r="B1880" i="7"/>
  <c r="C1880" i="7" s="1"/>
  <c r="B1879" i="7"/>
  <c r="C1879" i="7" s="1"/>
  <c r="B1878" i="7"/>
  <c r="C1878" i="7" s="1"/>
  <c r="B1877" i="7"/>
  <c r="C1877" i="7" s="1"/>
  <c r="B1876" i="7"/>
  <c r="C1876" i="7" s="1"/>
  <c r="B1875" i="7"/>
  <c r="C1875" i="7" s="1"/>
  <c r="B1874" i="7"/>
  <c r="C1874" i="7" s="1"/>
  <c r="B1873" i="7"/>
  <c r="C1873" i="7" s="1"/>
  <c r="B1872" i="7"/>
  <c r="C1872" i="7" s="1"/>
  <c r="B1871" i="7"/>
  <c r="C1871" i="7" s="1"/>
  <c r="B1870" i="7"/>
  <c r="C1870" i="7" s="1"/>
  <c r="B1869" i="7"/>
  <c r="C1869" i="7" s="1"/>
  <c r="B1868" i="7"/>
  <c r="C1868" i="7" s="1"/>
  <c r="B1867" i="7"/>
  <c r="C1867" i="7" s="1"/>
  <c r="B1866" i="7"/>
  <c r="C1866" i="7" s="1"/>
  <c r="B1865" i="7"/>
  <c r="C1865" i="7" s="1"/>
  <c r="B1864" i="7"/>
  <c r="C1864" i="7" s="1"/>
  <c r="B1863" i="7"/>
  <c r="C1863" i="7" s="1"/>
  <c r="B1862" i="7"/>
  <c r="C1862" i="7" s="1"/>
  <c r="B1861" i="7"/>
  <c r="C1861" i="7" s="1"/>
  <c r="B1860" i="7"/>
  <c r="C1860" i="7" s="1"/>
  <c r="B1859" i="7"/>
  <c r="C1859" i="7" s="1"/>
  <c r="B1858" i="7"/>
  <c r="C1858" i="7" s="1"/>
  <c r="B1857" i="7"/>
  <c r="C1857" i="7" s="1"/>
  <c r="B1856" i="7"/>
  <c r="C1856" i="7" s="1"/>
  <c r="B1855" i="7"/>
  <c r="C1855" i="7" s="1"/>
  <c r="B1854" i="7"/>
  <c r="C1854" i="7" s="1"/>
  <c r="B1853" i="7"/>
  <c r="C1853" i="7" s="1"/>
  <c r="B1852" i="7"/>
  <c r="C1852" i="7" s="1"/>
  <c r="B1851" i="7"/>
  <c r="C1851" i="7" s="1"/>
  <c r="B1850" i="7"/>
  <c r="C1850" i="7" s="1"/>
  <c r="B1849" i="7"/>
  <c r="C1849" i="7" s="1"/>
  <c r="B1848" i="7"/>
  <c r="C1848" i="7" s="1"/>
  <c r="B1847" i="7"/>
  <c r="C1847" i="7" s="1"/>
  <c r="B1846" i="7"/>
  <c r="C1846" i="7" s="1"/>
  <c r="B1845" i="7"/>
  <c r="C1845" i="7" s="1"/>
  <c r="B1844" i="7"/>
  <c r="C1844" i="7" s="1"/>
  <c r="B1843" i="7"/>
  <c r="C1843" i="7" s="1"/>
  <c r="B1842" i="7"/>
  <c r="C1842" i="7" s="1"/>
  <c r="B1841" i="7"/>
  <c r="C1841" i="7" s="1"/>
  <c r="B1840" i="7"/>
  <c r="C1840" i="7" s="1"/>
  <c r="B1839" i="7"/>
  <c r="C1839" i="7" s="1"/>
  <c r="B1838" i="7"/>
  <c r="C1838" i="7" s="1"/>
  <c r="B1837" i="7"/>
  <c r="C1837" i="7" s="1"/>
  <c r="B1836" i="7"/>
  <c r="C1836" i="7" s="1"/>
  <c r="B1835" i="7"/>
  <c r="C1835" i="7" s="1"/>
  <c r="B1834" i="7"/>
  <c r="C1834" i="7" s="1"/>
  <c r="B1833" i="7"/>
  <c r="C1833" i="7" s="1"/>
  <c r="B1832" i="7"/>
  <c r="C1832" i="7" s="1"/>
  <c r="B1831" i="7"/>
  <c r="C1831" i="7" s="1"/>
  <c r="B1830" i="7"/>
  <c r="C1830" i="7" s="1"/>
  <c r="B1829" i="7"/>
  <c r="C1829" i="7" s="1"/>
  <c r="B1828" i="7"/>
  <c r="C1828" i="7" s="1"/>
  <c r="B1827" i="7"/>
  <c r="C1827" i="7" s="1"/>
  <c r="B1826" i="7"/>
  <c r="C1826" i="7" s="1"/>
  <c r="B1825" i="7"/>
  <c r="C1825" i="7" s="1"/>
  <c r="B1824" i="7"/>
  <c r="C1824" i="7" s="1"/>
  <c r="B1823" i="7"/>
  <c r="C1823" i="7" s="1"/>
  <c r="B1822" i="7"/>
  <c r="C1822" i="7" s="1"/>
  <c r="B1821" i="7"/>
  <c r="C1821" i="7" s="1"/>
  <c r="B1820" i="7"/>
  <c r="C1820" i="7" s="1"/>
  <c r="B1819" i="7"/>
  <c r="C1819" i="7" s="1"/>
  <c r="B1818" i="7"/>
  <c r="C1818" i="7" s="1"/>
  <c r="B1817" i="7"/>
  <c r="C1817" i="7" s="1"/>
  <c r="B1816" i="7"/>
  <c r="C1816" i="7" s="1"/>
  <c r="B1815" i="7"/>
  <c r="C1815" i="7" s="1"/>
  <c r="B1814" i="7"/>
  <c r="C1814" i="7" s="1"/>
  <c r="B1813" i="7"/>
  <c r="C1813" i="7" s="1"/>
  <c r="B1812" i="7"/>
  <c r="C1812" i="7" s="1"/>
  <c r="B1811" i="7"/>
  <c r="C1811" i="7" s="1"/>
  <c r="B1810" i="7"/>
  <c r="C1810" i="7" s="1"/>
  <c r="B1809" i="7"/>
  <c r="C1809" i="7" s="1"/>
  <c r="B1808" i="7"/>
  <c r="C1808" i="7" s="1"/>
  <c r="B1807" i="7"/>
  <c r="C1807" i="7" s="1"/>
  <c r="B1806" i="7"/>
  <c r="C1806" i="7" s="1"/>
  <c r="B1805" i="7"/>
  <c r="C1805" i="7" s="1"/>
  <c r="B1788" i="7"/>
  <c r="C1788" i="7" s="1"/>
  <c r="B1787" i="7"/>
  <c r="C1787" i="7" s="1"/>
  <c r="B1786" i="7"/>
  <c r="C1786" i="7" s="1"/>
  <c r="B1785" i="7"/>
  <c r="C1785" i="7" s="1"/>
  <c r="B1784" i="7"/>
  <c r="C1784" i="7" s="1"/>
  <c r="B1783" i="7"/>
  <c r="C1783" i="7" s="1"/>
  <c r="B1782" i="7"/>
  <c r="C1782" i="7" s="1"/>
  <c r="B1781" i="7"/>
  <c r="C1781" i="7" s="1"/>
  <c r="B1780" i="7"/>
  <c r="C1780" i="7" s="1"/>
  <c r="B1779" i="7"/>
  <c r="C1779" i="7" s="1"/>
  <c r="B1778" i="7"/>
  <c r="C1778" i="7" s="1"/>
  <c r="B1777" i="7"/>
  <c r="C1777" i="7" s="1"/>
  <c r="B1776" i="7"/>
  <c r="C1776" i="7" s="1"/>
  <c r="B1775" i="7"/>
  <c r="C1775" i="7" s="1"/>
  <c r="B1774" i="7"/>
  <c r="C1774" i="7" s="1"/>
  <c r="B1773" i="7"/>
  <c r="C1773" i="7" s="1"/>
  <c r="B1772" i="7"/>
  <c r="C1772" i="7" s="1"/>
  <c r="B1771" i="7"/>
  <c r="C1771" i="7" s="1"/>
  <c r="B1770" i="7"/>
  <c r="C1770" i="7" s="1"/>
  <c r="B1769" i="7"/>
  <c r="C1769" i="7" s="1"/>
  <c r="B1768" i="7"/>
  <c r="C1768" i="7" s="1"/>
  <c r="B1767" i="7"/>
  <c r="C1767" i="7" s="1"/>
  <c r="B1766" i="7"/>
  <c r="C1766" i="7" s="1"/>
  <c r="B1765" i="7"/>
  <c r="C1765" i="7" s="1"/>
  <c r="B1764" i="7"/>
  <c r="C1764" i="7" s="1"/>
  <c r="B1763" i="7"/>
  <c r="C1763" i="7" s="1"/>
  <c r="B1762" i="7"/>
  <c r="C1762" i="7" s="1"/>
  <c r="B1761" i="7"/>
  <c r="C1761" i="7" s="1"/>
  <c r="B1760" i="7"/>
  <c r="C1760" i="7" s="1"/>
  <c r="B1759" i="7"/>
  <c r="C1759" i="7" s="1"/>
  <c r="B1758" i="7"/>
  <c r="C1758" i="7" s="1"/>
  <c r="B1757" i="7"/>
  <c r="C1757" i="7" s="1"/>
  <c r="B1756" i="7"/>
  <c r="C1756" i="7" s="1"/>
  <c r="B1755" i="7"/>
  <c r="C1755" i="7" s="1"/>
  <c r="B1754" i="7"/>
  <c r="C1754" i="7" s="1"/>
  <c r="B1753" i="7"/>
  <c r="C1753" i="7" s="1"/>
  <c r="B1752" i="7"/>
  <c r="C1752" i="7" s="1"/>
  <c r="B1751" i="7"/>
  <c r="C1751" i="7" s="1"/>
  <c r="B1750" i="7"/>
  <c r="C1750" i="7" s="1"/>
  <c r="B1749" i="7"/>
  <c r="C1749" i="7" s="1"/>
  <c r="B1748" i="7"/>
  <c r="C1748" i="7" s="1"/>
  <c r="B1747" i="7"/>
  <c r="C1747" i="7" s="1"/>
  <c r="B1746" i="7"/>
  <c r="C1746" i="7" s="1"/>
  <c r="B1745" i="7"/>
  <c r="C1745" i="7" s="1"/>
  <c r="B1744" i="7"/>
  <c r="C1744" i="7" s="1"/>
  <c r="B1743" i="7"/>
  <c r="C1743" i="7" s="1"/>
  <c r="B1742" i="7"/>
  <c r="C1742" i="7" s="1"/>
  <c r="B1741" i="7"/>
  <c r="C1741" i="7" s="1"/>
  <c r="B1740" i="7"/>
  <c r="C1740" i="7" s="1"/>
  <c r="B1739" i="7"/>
  <c r="C1739" i="7" s="1"/>
  <c r="B1738" i="7"/>
  <c r="C1738" i="7" s="1"/>
  <c r="B1737" i="7"/>
  <c r="C1737" i="7" s="1"/>
  <c r="B1736" i="7"/>
  <c r="C1736" i="7" s="1"/>
  <c r="B1735" i="7"/>
  <c r="C1735" i="7" s="1"/>
  <c r="B1734" i="7"/>
  <c r="C1734" i="7" s="1"/>
  <c r="B1733" i="7"/>
  <c r="C1733" i="7" s="1"/>
  <c r="B1732" i="7"/>
  <c r="C1732" i="7" s="1"/>
  <c r="B1731" i="7"/>
  <c r="C1731" i="7" s="1"/>
  <c r="B1730" i="7"/>
  <c r="C1730" i="7" s="1"/>
  <c r="B1729" i="7"/>
  <c r="C1729" i="7" s="1"/>
  <c r="B1728" i="7"/>
  <c r="C1728" i="7" s="1"/>
  <c r="B1727" i="7"/>
  <c r="C1727" i="7" s="1"/>
  <c r="B1726" i="7"/>
  <c r="C1726" i="7" s="1"/>
  <c r="B1725" i="7"/>
  <c r="C1725" i="7" s="1"/>
  <c r="B1724" i="7"/>
  <c r="C1724" i="7" s="1"/>
  <c r="B1723" i="7"/>
  <c r="C1723" i="7" s="1"/>
  <c r="B1722" i="7"/>
  <c r="C1722" i="7" s="1"/>
  <c r="B1721" i="7"/>
  <c r="C1721" i="7" s="1"/>
  <c r="B1720" i="7"/>
  <c r="C1720" i="7" s="1"/>
  <c r="B1719" i="7"/>
  <c r="C1719" i="7" s="1"/>
  <c r="B1718" i="7"/>
  <c r="C1718" i="7" s="1"/>
  <c r="B1717" i="7"/>
  <c r="C1717" i="7" s="1"/>
  <c r="B1716" i="7"/>
  <c r="C1716" i="7" s="1"/>
  <c r="B1715" i="7"/>
  <c r="C1715" i="7" s="1"/>
  <c r="B1714" i="7"/>
  <c r="C1714" i="7" s="1"/>
  <c r="B1713" i="7"/>
  <c r="C1713" i="7" s="1"/>
  <c r="B1712" i="7"/>
  <c r="C1712" i="7" s="1"/>
  <c r="B1711" i="7"/>
  <c r="C1711" i="7" s="1"/>
  <c r="B1710" i="7"/>
  <c r="C1710" i="7" s="1"/>
  <c r="B1709" i="7"/>
  <c r="C1709" i="7" s="1"/>
  <c r="B1708" i="7"/>
  <c r="C1708" i="7" s="1"/>
  <c r="B1707" i="7"/>
  <c r="C1707" i="7" s="1"/>
  <c r="B1706" i="7"/>
  <c r="C1706" i="7" s="1"/>
  <c r="B1705" i="7"/>
  <c r="C1705" i="7" s="1"/>
  <c r="B1704" i="7"/>
  <c r="C1704" i="7" s="1"/>
  <c r="B1703" i="7"/>
  <c r="C1703" i="7" s="1"/>
  <c r="B1702" i="7"/>
  <c r="C1702" i="7" s="1"/>
  <c r="B1701" i="7"/>
  <c r="C1701" i="7" s="1"/>
  <c r="B1700" i="7"/>
  <c r="C1700" i="7" s="1"/>
  <c r="B1699" i="7"/>
  <c r="C1699" i="7" s="1"/>
  <c r="B1698" i="7"/>
  <c r="C1698" i="7" s="1"/>
  <c r="B1697" i="7"/>
  <c r="C1697" i="7" s="1"/>
  <c r="B1696" i="7"/>
  <c r="C1696" i="7" s="1"/>
  <c r="B1695" i="7"/>
  <c r="C1695" i="7" s="1"/>
  <c r="B1694" i="7"/>
  <c r="C1694" i="7" s="1"/>
  <c r="B1693" i="7"/>
  <c r="C1693" i="7" s="1"/>
  <c r="B1692" i="7"/>
  <c r="C1692" i="7" s="1"/>
  <c r="B1691" i="7"/>
  <c r="C1691" i="7" s="1"/>
  <c r="B1690" i="7"/>
  <c r="C1690" i="7" s="1"/>
  <c r="B1689" i="7"/>
  <c r="C1689" i="7" s="1"/>
  <c r="B1688" i="7"/>
  <c r="C1688" i="7" s="1"/>
  <c r="B1687" i="7"/>
  <c r="C1687" i="7" s="1"/>
  <c r="B1686" i="7"/>
  <c r="C1686" i="7" s="1"/>
  <c r="B1685" i="7"/>
  <c r="C1685" i="7" s="1"/>
  <c r="B1684" i="7"/>
  <c r="C1684" i="7" s="1"/>
  <c r="B1683" i="7"/>
  <c r="C1683" i="7" s="1"/>
  <c r="B1682" i="7"/>
  <c r="C1682" i="7" s="1"/>
  <c r="B1681" i="7"/>
  <c r="C1681" i="7" s="1"/>
  <c r="B1680" i="7"/>
  <c r="C1680" i="7" s="1"/>
  <c r="B1679" i="7"/>
  <c r="C1679" i="7" s="1"/>
  <c r="B1678" i="7"/>
  <c r="C1678" i="7" s="1"/>
  <c r="B1677" i="7"/>
  <c r="C1677" i="7" s="1"/>
  <c r="B1676" i="7"/>
  <c r="C1676" i="7" s="1"/>
  <c r="B1675" i="7"/>
  <c r="C1675" i="7" s="1"/>
  <c r="B1674" i="7"/>
  <c r="C1674" i="7" s="1"/>
  <c r="B1673" i="7"/>
  <c r="C1673" i="7" s="1"/>
  <c r="B1672" i="7"/>
  <c r="C1672" i="7" s="1"/>
  <c r="B1671" i="7"/>
  <c r="C1671" i="7" s="1"/>
  <c r="B1670" i="7"/>
  <c r="C1670" i="7" s="1"/>
  <c r="B1669" i="7"/>
  <c r="C1669" i="7" s="1"/>
  <c r="B1668" i="7"/>
  <c r="C1668" i="7" s="1"/>
  <c r="B1667" i="7"/>
  <c r="C1667" i="7" s="1"/>
  <c r="B1666" i="7"/>
  <c r="C1666" i="7" s="1"/>
  <c r="B1665" i="7"/>
  <c r="C1665" i="7" s="1"/>
  <c r="B1664" i="7"/>
  <c r="C1664" i="7" s="1"/>
  <c r="B1663" i="7"/>
  <c r="C1663" i="7" s="1"/>
  <c r="B1662" i="7"/>
  <c r="C1662" i="7" s="1"/>
  <c r="B1661" i="7"/>
  <c r="C1661" i="7" s="1"/>
  <c r="B1660" i="7"/>
  <c r="C1660" i="7" s="1"/>
  <c r="B1659" i="7"/>
  <c r="C1659" i="7" s="1"/>
  <c r="B1658" i="7"/>
  <c r="C1658" i="7" s="1"/>
  <c r="B1657" i="7"/>
  <c r="C1657" i="7" s="1"/>
  <c r="B1656" i="7"/>
  <c r="C1656" i="7" s="1"/>
  <c r="B1655" i="7"/>
  <c r="C1655" i="7" s="1"/>
  <c r="B1654" i="7"/>
  <c r="C1654" i="7" s="1"/>
  <c r="B1653" i="7"/>
  <c r="C1653" i="7" s="1"/>
  <c r="B1652" i="7"/>
  <c r="C1652" i="7" s="1"/>
  <c r="B1651" i="7"/>
  <c r="C1651" i="7" s="1"/>
  <c r="B1650" i="7"/>
  <c r="C1650" i="7" s="1"/>
  <c r="B1649" i="7"/>
  <c r="C1649" i="7" s="1"/>
  <c r="B1648" i="7"/>
  <c r="C1648" i="7" s="1"/>
  <c r="B1647" i="7"/>
  <c r="C1647" i="7" s="1"/>
  <c r="B1646" i="7"/>
  <c r="C1646" i="7" s="1"/>
  <c r="B1645" i="7"/>
  <c r="C1645" i="7" s="1"/>
  <c r="B1644" i="7"/>
  <c r="C1644" i="7" s="1"/>
  <c r="B1643" i="7"/>
  <c r="C1643" i="7" s="1"/>
  <c r="B1642" i="7"/>
  <c r="C1642" i="7" s="1"/>
  <c r="B1641" i="7"/>
  <c r="C1641" i="7" s="1"/>
  <c r="B1640" i="7"/>
  <c r="C1640" i="7" s="1"/>
  <c r="B1639" i="7"/>
  <c r="C1639" i="7" s="1"/>
  <c r="B1638" i="7"/>
  <c r="C1638" i="7" s="1"/>
  <c r="B1637" i="7"/>
  <c r="C1637" i="7" s="1"/>
  <c r="B1636" i="7"/>
  <c r="C1636" i="7" s="1"/>
  <c r="B1635" i="7"/>
  <c r="C1635" i="7" s="1"/>
  <c r="B1634" i="7"/>
  <c r="C1634" i="7" s="1"/>
  <c r="B1633" i="7"/>
  <c r="C1633" i="7" s="1"/>
  <c r="B1632" i="7"/>
  <c r="C1632" i="7" s="1"/>
  <c r="B1631" i="7"/>
  <c r="C1631" i="7" s="1"/>
  <c r="B1630" i="7"/>
  <c r="C1630" i="7" s="1"/>
  <c r="B1629" i="7"/>
  <c r="C1629" i="7" s="1"/>
  <c r="B1628" i="7"/>
  <c r="C1628" i="7" s="1"/>
  <c r="B1627" i="7"/>
  <c r="C1627" i="7" s="1"/>
  <c r="B1626" i="7"/>
  <c r="C1626" i="7" s="1"/>
  <c r="B1625" i="7"/>
  <c r="C1625" i="7" s="1"/>
  <c r="B1624" i="7"/>
  <c r="C1624" i="7" s="1"/>
  <c r="B1623" i="7"/>
  <c r="C1623" i="7" s="1"/>
  <c r="B1622" i="7"/>
  <c r="C1622" i="7" s="1"/>
  <c r="B1621" i="7"/>
  <c r="C1621" i="7" s="1"/>
  <c r="B1620" i="7"/>
  <c r="C1620" i="7" s="1"/>
  <c r="B1619" i="7"/>
  <c r="C1619" i="7" s="1"/>
  <c r="B1618" i="7"/>
  <c r="C1618" i="7" s="1"/>
  <c r="B1617" i="7"/>
  <c r="C1617" i="7" s="1"/>
  <c r="B1616" i="7"/>
  <c r="C1616" i="7" s="1"/>
  <c r="B1615" i="7"/>
  <c r="C1615" i="7" s="1"/>
  <c r="B1614" i="7"/>
  <c r="C1614" i="7" s="1"/>
  <c r="B1613" i="7"/>
  <c r="C1613" i="7" s="1"/>
  <c r="B1612" i="7"/>
  <c r="C1612" i="7" s="1"/>
  <c r="B1611" i="7"/>
  <c r="C1611" i="7" s="1"/>
  <c r="B1610" i="7"/>
  <c r="C1610" i="7" s="1"/>
  <c r="B1609" i="7"/>
  <c r="C1609" i="7" s="1"/>
  <c r="B1608" i="7"/>
  <c r="C1608" i="7" s="1"/>
  <c r="B1607" i="7"/>
  <c r="C1607" i="7" s="1"/>
  <c r="B1606" i="7"/>
  <c r="C1606" i="7" s="1"/>
  <c r="B1605" i="7"/>
  <c r="C1605" i="7" s="1"/>
  <c r="B1604" i="7"/>
  <c r="C1604" i="7" s="1"/>
  <c r="B1603" i="7"/>
  <c r="C1603" i="7" s="1"/>
  <c r="B1602" i="7"/>
  <c r="C1602" i="7" s="1"/>
  <c r="B1601" i="7"/>
  <c r="C1601" i="7" s="1"/>
  <c r="B1600" i="7"/>
  <c r="C1600" i="7" s="1"/>
  <c r="B1599" i="7"/>
  <c r="C1599" i="7" s="1"/>
  <c r="B1598" i="7"/>
  <c r="C1598" i="7" s="1"/>
  <c r="B1597" i="7"/>
  <c r="C1597" i="7" s="1"/>
  <c r="B1596" i="7"/>
  <c r="C1596" i="7" s="1"/>
  <c r="B1595" i="7"/>
  <c r="C1595" i="7" s="1"/>
  <c r="B1594" i="7"/>
  <c r="C1594" i="7" s="1"/>
  <c r="B1593" i="7"/>
  <c r="C1593" i="7" s="1"/>
  <c r="B1592" i="7"/>
  <c r="C1592" i="7" s="1"/>
  <c r="B1591" i="7"/>
  <c r="C1591" i="7" s="1"/>
  <c r="B1590" i="7"/>
  <c r="C1590" i="7" s="1"/>
  <c r="B1589" i="7"/>
  <c r="C1589" i="7" s="1"/>
  <c r="B1588" i="7"/>
  <c r="C1588" i="7" s="1"/>
  <c r="B1587" i="7"/>
  <c r="C1587" i="7" s="1"/>
  <c r="B1586" i="7"/>
  <c r="C1586" i="7" s="1"/>
  <c r="B1585" i="7"/>
  <c r="C1585" i="7" s="1"/>
  <c r="B1584" i="7"/>
  <c r="C1584" i="7" s="1"/>
  <c r="B1583" i="7"/>
  <c r="C1583" i="7" s="1"/>
  <c r="B1582" i="7"/>
  <c r="C1582" i="7" s="1"/>
  <c r="B1581" i="7"/>
  <c r="C1581" i="7" s="1"/>
  <c r="B1580" i="7"/>
  <c r="C1580" i="7" s="1"/>
  <c r="B1579" i="7"/>
  <c r="C1579" i="7" s="1"/>
  <c r="B1578" i="7"/>
  <c r="C1578" i="7" s="1"/>
  <c r="B1577" i="7"/>
  <c r="C1577" i="7" s="1"/>
  <c r="B1576" i="7"/>
  <c r="C1576" i="7" s="1"/>
  <c r="B1575" i="7"/>
  <c r="C1575" i="7" s="1"/>
  <c r="B1574" i="7"/>
  <c r="C1574" i="7" s="1"/>
  <c r="B1573" i="7"/>
  <c r="C1573" i="7" s="1"/>
  <c r="B1572" i="7"/>
  <c r="C1572" i="7" s="1"/>
  <c r="B1571" i="7"/>
  <c r="C1571" i="7" s="1"/>
  <c r="B1570" i="7"/>
  <c r="C1570" i="7" s="1"/>
  <c r="B1569" i="7"/>
  <c r="C1569" i="7" s="1"/>
  <c r="B1568" i="7"/>
  <c r="C1568" i="7" s="1"/>
  <c r="B1567" i="7"/>
  <c r="C1567" i="7" s="1"/>
  <c r="B1566" i="7"/>
  <c r="C1566" i="7" s="1"/>
  <c r="B1565" i="7"/>
  <c r="C1565" i="7" s="1"/>
  <c r="B1564" i="7"/>
  <c r="C1564" i="7" s="1"/>
  <c r="B1563" i="7"/>
  <c r="C1563" i="7" s="1"/>
  <c r="B1562" i="7"/>
  <c r="C1562" i="7" s="1"/>
  <c r="B1561" i="7"/>
  <c r="C1561" i="7" s="1"/>
  <c r="B1560" i="7"/>
  <c r="C1560" i="7" s="1"/>
  <c r="B1559" i="7"/>
  <c r="C1559" i="7" s="1"/>
  <c r="B1558" i="7"/>
  <c r="C1558" i="7" s="1"/>
  <c r="B1557" i="7"/>
  <c r="C1557" i="7" s="1"/>
  <c r="B1556" i="7"/>
  <c r="C1556" i="7" s="1"/>
  <c r="B1555" i="7"/>
  <c r="C1555" i="7" s="1"/>
  <c r="B1554" i="7"/>
  <c r="C1554" i="7" s="1"/>
  <c r="B1553" i="7"/>
  <c r="C1553" i="7" s="1"/>
  <c r="B1552" i="7"/>
  <c r="C1552" i="7" s="1"/>
  <c r="B1551" i="7"/>
  <c r="C1551" i="7" s="1"/>
  <c r="B1550" i="7"/>
  <c r="C1550" i="7" s="1"/>
  <c r="B1549" i="7"/>
  <c r="C1549" i="7" s="1"/>
  <c r="B1548" i="7"/>
  <c r="C1548" i="7" s="1"/>
  <c r="B1547" i="7"/>
  <c r="C1547" i="7" s="1"/>
  <c r="B1546" i="7"/>
  <c r="C1546" i="7" s="1"/>
  <c r="B1545" i="7"/>
  <c r="C1545" i="7" s="1"/>
  <c r="B1544" i="7"/>
  <c r="C1544" i="7" s="1"/>
  <c r="B1543" i="7"/>
  <c r="C1543" i="7" s="1"/>
  <c r="B1542" i="7"/>
  <c r="C1542" i="7" s="1"/>
  <c r="B1541" i="7"/>
  <c r="C1541" i="7" s="1"/>
  <c r="B1540" i="7"/>
  <c r="C1540" i="7" s="1"/>
  <c r="B1539" i="7"/>
  <c r="C1539" i="7" s="1"/>
  <c r="B1538" i="7"/>
  <c r="C1538" i="7" s="1"/>
  <c r="B1537" i="7"/>
  <c r="C1537" i="7" s="1"/>
  <c r="B1536" i="7"/>
  <c r="C1536" i="7" s="1"/>
  <c r="B1535" i="7"/>
  <c r="C1535" i="7" s="1"/>
  <c r="B1534" i="7"/>
  <c r="C1534" i="7" s="1"/>
  <c r="B1533" i="7"/>
  <c r="C1533" i="7" s="1"/>
  <c r="B1532" i="7"/>
  <c r="C1532" i="7" s="1"/>
  <c r="B1531" i="7"/>
  <c r="C1531" i="7" s="1"/>
  <c r="B1530" i="7"/>
  <c r="C1530" i="7" s="1"/>
  <c r="B1529" i="7"/>
  <c r="C1529" i="7" s="1"/>
  <c r="B1528" i="7"/>
  <c r="C1528" i="7" s="1"/>
  <c r="B1527" i="7"/>
  <c r="C1527" i="7" s="1"/>
  <c r="B1526" i="7"/>
  <c r="C1526" i="7" s="1"/>
  <c r="B1525" i="7"/>
  <c r="C1525" i="7" s="1"/>
  <c r="B1524" i="7"/>
  <c r="C1524" i="7" s="1"/>
  <c r="B1523" i="7"/>
  <c r="C1523" i="7" s="1"/>
  <c r="B1522" i="7"/>
  <c r="C1522" i="7" s="1"/>
  <c r="B1521" i="7"/>
  <c r="C1521" i="7" s="1"/>
  <c r="B1520" i="7"/>
  <c r="C1520" i="7" s="1"/>
  <c r="B1519" i="7"/>
  <c r="C1519" i="7" s="1"/>
  <c r="B1518" i="7"/>
  <c r="C1518" i="7" s="1"/>
  <c r="B1517" i="7"/>
  <c r="C1517" i="7" s="1"/>
  <c r="B1516" i="7"/>
  <c r="C1516" i="7" s="1"/>
  <c r="B1515" i="7"/>
  <c r="C1515" i="7" s="1"/>
  <c r="B1514" i="7"/>
  <c r="C1514" i="7" s="1"/>
  <c r="B1513" i="7"/>
  <c r="C1513" i="7" s="1"/>
  <c r="B1512" i="7"/>
  <c r="C1512" i="7" s="1"/>
  <c r="B1511" i="7"/>
  <c r="C1511" i="7" s="1"/>
  <c r="B1510" i="7"/>
  <c r="C1510" i="7" s="1"/>
  <c r="B1509" i="7"/>
  <c r="C1509" i="7" s="1"/>
  <c r="B1508" i="7"/>
  <c r="C1508" i="7" s="1"/>
  <c r="B1507" i="7"/>
  <c r="C1507" i="7" s="1"/>
  <c r="B1506" i="7"/>
  <c r="C1506" i="7" s="1"/>
  <c r="B1505" i="7"/>
  <c r="C1505" i="7" s="1"/>
  <c r="B1504" i="7"/>
  <c r="C1504" i="7" s="1"/>
  <c r="B1503" i="7"/>
  <c r="C1503" i="7" s="1"/>
  <c r="B1502" i="7"/>
  <c r="C1502" i="7" s="1"/>
  <c r="B1501" i="7"/>
  <c r="C1501" i="7" s="1"/>
  <c r="B1500" i="7"/>
  <c r="C1500" i="7" s="1"/>
  <c r="B1499" i="7"/>
  <c r="C1499" i="7" s="1"/>
  <c r="B1498" i="7"/>
  <c r="C1498" i="7" s="1"/>
  <c r="B1497" i="7"/>
  <c r="C1497" i="7" s="1"/>
  <c r="B1496" i="7"/>
  <c r="C1496" i="7" s="1"/>
  <c r="B1495" i="7"/>
  <c r="C1495" i="7" s="1"/>
  <c r="B1494" i="7"/>
  <c r="C1494" i="7" s="1"/>
  <c r="B1493" i="7"/>
  <c r="C1493" i="7" s="1"/>
  <c r="B1492" i="7"/>
  <c r="C1492" i="7" s="1"/>
  <c r="B1491" i="7"/>
  <c r="C1491" i="7" s="1"/>
  <c r="B1490" i="7"/>
  <c r="C1490" i="7" s="1"/>
  <c r="B1489" i="7"/>
  <c r="C1489" i="7" s="1"/>
  <c r="B1488" i="7"/>
  <c r="C1488" i="7" s="1"/>
  <c r="B1487" i="7"/>
  <c r="C1487" i="7" s="1"/>
  <c r="B1486" i="7"/>
  <c r="C1486" i="7" s="1"/>
  <c r="B1485" i="7"/>
  <c r="C1485" i="7" s="1"/>
  <c r="B1484" i="7"/>
  <c r="C1484" i="7" s="1"/>
  <c r="B1483" i="7"/>
  <c r="C1483" i="7" s="1"/>
  <c r="B1482" i="7"/>
  <c r="C1482" i="7" s="1"/>
  <c r="B1481" i="7"/>
  <c r="C1481" i="7" s="1"/>
  <c r="B1480" i="7"/>
  <c r="C1480" i="7" s="1"/>
  <c r="B1479" i="7"/>
  <c r="C1479" i="7" s="1"/>
  <c r="B1478" i="7"/>
  <c r="C1478" i="7" s="1"/>
  <c r="B1477" i="7"/>
  <c r="C1477" i="7" s="1"/>
  <c r="B1476" i="7"/>
  <c r="C1476" i="7" s="1"/>
  <c r="B1475" i="7"/>
  <c r="C1475" i="7" s="1"/>
  <c r="B1474" i="7"/>
  <c r="C1474" i="7" s="1"/>
  <c r="B1473" i="7"/>
  <c r="C1473" i="7" s="1"/>
  <c r="B1472" i="7"/>
  <c r="C1472" i="7" s="1"/>
  <c r="B1471" i="7"/>
  <c r="C1471" i="7" s="1"/>
  <c r="B1470" i="7"/>
  <c r="C1470" i="7" s="1"/>
  <c r="B1469" i="7"/>
  <c r="C1469" i="7" s="1"/>
  <c r="B1468" i="7"/>
  <c r="C1468" i="7" s="1"/>
  <c r="B1467" i="7"/>
  <c r="C1467" i="7" s="1"/>
  <c r="B1466" i="7"/>
  <c r="C1466" i="7" s="1"/>
  <c r="B1465" i="7"/>
  <c r="C1465" i="7" s="1"/>
  <c r="B1464" i="7"/>
  <c r="C1464" i="7" s="1"/>
  <c r="B1463" i="7"/>
  <c r="C1463" i="7" s="1"/>
  <c r="B1462" i="7"/>
  <c r="C1462" i="7" s="1"/>
  <c r="B1461" i="7"/>
  <c r="C1461" i="7" s="1"/>
  <c r="B1460" i="7"/>
  <c r="C1460" i="7" s="1"/>
  <c r="B1459" i="7"/>
  <c r="C1459" i="7" s="1"/>
  <c r="B1458" i="7"/>
  <c r="C1458" i="7" s="1"/>
  <c r="B1457" i="7"/>
  <c r="C1457" i="7" s="1"/>
  <c r="B1456" i="7"/>
  <c r="C1456" i="7" s="1"/>
  <c r="B1455" i="7"/>
  <c r="C1455" i="7" s="1"/>
  <c r="B1454" i="7"/>
  <c r="C1454" i="7" s="1"/>
  <c r="B1453" i="7"/>
  <c r="C1453" i="7" s="1"/>
  <c r="B1452" i="7"/>
  <c r="C1452" i="7" s="1"/>
  <c r="B1451" i="7"/>
  <c r="C1451" i="7" s="1"/>
  <c r="B1450" i="7"/>
  <c r="C1450" i="7" s="1"/>
  <c r="B1449" i="7"/>
  <c r="C1449" i="7" s="1"/>
  <c r="B1448" i="7"/>
  <c r="C1448" i="7" s="1"/>
  <c r="B1447" i="7"/>
  <c r="C1447" i="7" s="1"/>
  <c r="B1446" i="7"/>
  <c r="C1446" i="7" s="1"/>
  <c r="B1445" i="7"/>
  <c r="C1445" i="7" s="1"/>
  <c r="B1444" i="7"/>
  <c r="C1444" i="7" s="1"/>
  <c r="B1443" i="7"/>
  <c r="C1443" i="7" s="1"/>
  <c r="B1442" i="7"/>
  <c r="C1442" i="7" s="1"/>
  <c r="B1441" i="7"/>
  <c r="C1441" i="7" s="1"/>
  <c r="B1440" i="7"/>
  <c r="C1440" i="7" s="1"/>
  <c r="B1439" i="7"/>
  <c r="C1439" i="7" s="1"/>
  <c r="B1438" i="7"/>
  <c r="C1438" i="7" s="1"/>
  <c r="B1437" i="7"/>
  <c r="C1437" i="7" s="1"/>
  <c r="B1436" i="7"/>
  <c r="C1436" i="7" s="1"/>
  <c r="B1435" i="7"/>
  <c r="C1435" i="7" s="1"/>
  <c r="B1434" i="7"/>
  <c r="C1434" i="7" s="1"/>
  <c r="B1433" i="7"/>
  <c r="C1433" i="7" s="1"/>
  <c r="B1432" i="7"/>
  <c r="C1432" i="7" s="1"/>
  <c r="B1431" i="7"/>
  <c r="C1431" i="7" s="1"/>
  <c r="B1430" i="7"/>
  <c r="C1430" i="7" s="1"/>
  <c r="B1429" i="7"/>
  <c r="C1429" i="7" s="1"/>
  <c r="B1428" i="7"/>
  <c r="C1428" i="7" s="1"/>
  <c r="B1427" i="7"/>
  <c r="C1427" i="7" s="1"/>
  <c r="B1426" i="7"/>
  <c r="C1426" i="7" s="1"/>
  <c r="B1425" i="7"/>
  <c r="C1425" i="7" s="1"/>
  <c r="B1424" i="7"/>
  <c r="C1424" i="7" s="1"/>
  <c r="B1423" i="7"/>
  <c r="C1423" i="7" s="1"/>
  <c r="B1422" i="7"/>
  <c r="C1422" i="7" s="1"/>
  <c r="B1421" i="7"/>
  <c r="C1421" i="7" s="1"/>
  <c r="B1420" i="7"/>
  <c r="C1420" i="7" s="1"/>
  <c r="B1419" i="7"/>
  <c r="C1419" i="7" s="1"/>
  <c r="B1418" i="7"/>
  <c r="C1418" i="7" s="1"/>
  <c r="B1417" i="7"/>
  <c r="C1417" i="7" s="1"/>
  <c r="B1416" i="7"/>
  <c r="C1416" i="7" s="1"/>
  <c r="B1415" i="7"/>
  <c r="C1415" i="7" s="1"/>
  <c r="B1414" i="7"/>
  <c r="C1414" i="7" s="1"/>
  <c r="B1413" i="7"/>
  <c r="C1413" i="7" s="1"/>
  <c r="B1412" i="7"/>
  <c r="C1412" i="7" s="1"/>
  <c r="B1411" i="7"/>
  <c r="C1411" i="7" s="1"/>
  <c r="B1410" i="7"/>
  <c r="C1410" i="7" s="1"/>
  <c r="B1409" i="7"/>
  <c r="C1409" i="7" s="1"/>
  <c r="B1408" i="7"/>
  <c r="C1408" i="7" s="1"/>
  <c r="B1407" i="7"/>
  <c r="C1407" i="7" s="1"/>
  <c r="B1406" i="7"/>
  <c r="C1406" i="7" s="1"/>
  <c r="B1405" i="7"/>
  <c r="C1405" i="7" s="1"/>
  <c r="B1404" i="7"/>
  <c r="C1404" i="7" s="1"/>
  <c r="B1403" i="7"/>
  <c r="C1403" i="7" s="1"/>
  <c r="B1402" i="7"/>
  <c r="C1402" i="7" s="1"/>
  <c r="B1401" i="7"/>
  <c r="C1401" i="7" s="1"/>
  <c r="B1400" i="7"/>
  <c r="C1400" i="7" s="1"/>
  <c r="B1399" i="7"/>
  <c r="C1399" i="7" s="1"/>
  <c r="B1398" i="7"/>
  <c r="C1398" i="7" s="1"/>
  <c r="B1397" i="7"/>
  <c r="C1397" i="7" s="1"/>
  <c r="B1396" i="7"/>
  <c r="C1396" i="7" s="1"/>
  <c r="B1395" i="7"/>
  <c r="C1395" i="7" s="1"/>
  <c r="B1394" i="7"/>
  <c r="C1394" i="7" s="1"/>
  <c r="B1393" i="7"/>
  <c r="C1393" i="7" s="1"/>
  <c r="B1392" i="7"/>
  <c r="C1392" i="7" s="1"/>
  <c r="B1391" i="7"/>
  <c r="C1391" i="7" s="1"/>
  <c r="B1390" i="7"/>
  <c r="C1390" i="7" s="1"/>
  <c r="B1389" i="7"/>
  <c r="C1389" i="7" s="1"/>
  <c r="B1388" i="7"/>
  <c r="C1388" i="7" s="1"/>
  <c r="B1387" i="7"/>
  <c r="C1387" i="7" s="1"/>
  <c r="B1386" i="7"/>
  <c r="C1386" i="7" s="1"/>
  <c r="B1385" i="7"/>
  <c r="C1385" i="7" s="1"/>
  <c r="B1384" i="7"/>
  <c r="C1384" i="7" s="1"/>
  <c r="B1383" i="7"/>
  <c r="C1383" i="7" s="1"/>
  <c r="B1382" i="7"/>
  <c r="C1382" i="7" s="1"/>
  <c r="B1381" i="7"/>
  <c r="C1381" i="7" s="1"/>
  <c r="B1380" i="7"/>
  <c r="C1380" i="7" s="1"/>
  <c r="B1379" i="7"/>
  <c r="C1379" i="7" s="1"/>
  <c r="B1378" i="7"/>
  <c r="C1378" i="7" s="1"/>
  <c r="B1377" i="7"/>
  <c r="C1377" i="7" s="1"/>
  <c r="B1376" i="7"/>
  <c r="C1376" i="7" s="1"/>
  <c r="B1375" i="7"/>
  <c r="C1375" i="7" s="1"/>
  <c r="B1374" i="7"/>
  <c r="C1374" i="7" s="1"/>
  <c r="B1373" i="7"/>
  <c r="C1373" i="7" s="1"/>
  <c r="B1372" i="7"/>
  <c r="C1372" i="7" s="1"/>
  <c r="B1371" i="7"/>
  <c r="C1371" i="7" s="1"/>
  <c r="B1370" i="7"/>
  <c r="C1370" i="7" s="1"/>
  <c r="B1369" i="7"/>
  <c r="C1369" i="7" s="1"/>
  <c r="B1368" i="7"/>
  <c r="C1368" i="7" s="1"/>
  <c r="B1367" i="7"/>
  <c r="C1367" i="7" s="1"/>
  <c r="B1366" i="7"/>
  <c r="C1366" i="7" s="1"/>
  <c r="B1365" i="7"/>
  <c r="C1365" i="7" s="1"/>
  <c r="B1364" i="7"/>
  <c r="C1364" i="7" s="1"/>
  <c r="B1363" i="7"/>
  <c r="C1363" i="7" s="1"/>
  <c r="B1362" i="7"/>
  <c r="C1362" i="7" s="1"/>
  <c r="B1361" i="7"/>
  <c r="C1361" i="7" s="1"/>
  <c r="B1360" i="7"/>
  <c r="C1360" i="7" s="1"/>
  <c r="B1359" i="7"/>
  <c r="C1359" i="7" s="1"/>
  <c r="B1358" i="7"/>
  <c r="C1358" i="7" s="1"/>
  <c r="B1357" i="7"/>
  <c r="C1357" i="7" s="1"/>
  <c r="B1356" i="7"/>
  <c r="C1356" i="7" s="1"/>
  <c r="B1355" i="7"/>
  <c r="C1355" i="7" s="1"/>
  <c r="B1354" i="7"/>
  <c r="C1354" i="7" s="1"/>
  <c r="B1353" i="7"/>
  <c r="C1353" i="7" s="1"/>
  <c r="B1352" i="7"/>
  <c r="C1352" i="7" s="1"/>
  <c r="B1351" i="7"/>
  <c r="C1351" i="7" s="1"/>
  <c r="B1350" i="7"/>
  <c r="C1350" i="7" s="1"/>
  <c r="B1349" i="7"/>
  <c r="C1349" i="7" s="1"/>
  <c r="B1348" i="7"/>
  <c r="C1348" i="7" s="1"/>
  <c r="B1347" i="7"/>
  <c r="C1347" i="7" s="1"/>
  <c r="B1346" i="7"/>
  <c r="C1346" i="7" s="1"/>
  <c r="B1345" i="7"/>
  <c r="C1345" i="7" s="1"/>
  <c r="B1344" i="7"/>
  <c r="C1344" i="7" s="1"/>
  <c r="B1343" i="7"/>
  <c r="C1343" i="7" s="1"/>
  <c r="B1342" i="7"/>
  <c r="C1342" i="7" s="1"/>
  <c r="B1341" i="7"/>
  <c r="C1341" i="7" s="1"/>
  <c r="B1340" i="7"/>
  <c r="C1340" i="7" s="1"/>
  <c r="B1339" i="7"/>
  <c r="C1339" i="7" s="1"/>
  <c r="B1338" i="7"/>
  <c r="C1338" i="7" s="1"/>
  <c r="B1337" i="7"/>
  <c r="C1337" i="7" s="1"/>
  <c r="B1336" i="7"/>
  <c r="C1336" i="7" s="1"/>
  <c r="B1335" i="7"/>
  <c r="C1335" i="7" s="1"/>
  <c r="B1334" i="7"/>
  <c r="C1334" i="7" s="1"/>
  <c r="B1333" i="7"/>
  <c r="C1333" i="7" s="1"/>
  <c r="B1332" i="7"/>
  <c r="C1332" i="7" s="1"/>
  <c r="B1331" i="7"/>
  <c r="C1331" i="7" s="1"/>
  <c r="B1330" i="7"/>
  <c r="C1330" i="7" s="1"/>
  <c r="B1329" i="7"/>
  <c r="C1329" i="7" s="1"/>
  <c r="B1328" i="7"/>
  <c r="C1328" i="7" s="1"/>
  <c r="B1327" i="7"/>
  <c r="C1327" i="7" s="1"/>
  <c r="B1326" i="7"/>
  <c r="C1326" i="7" s="1"/>
  <c r="B1325" i="7"/>
  <c r="C1325" i="7" s="1"/>
  <c r="B1324" i="7"/>
  <c r="C1324" i="7" s="1"/>
  <c r="B1323" i="7"/>
  <c r="C1323" i="7" s="1"/>
  <c r="B1322" i="7"/>
  <c r="C1322" i="7" s="1"/>
  <c r="B1321" i="7"/>
  <c r="C1321" i="7" s="1"/>
  <c r="B1320" i="7"/>
  <c r="C1320" i="7" s="1"/>
  <c r="B1319" i="7"/>
  <c r="C1319" i="7" s="1"/>
  <c r="B1318" i="7"/>
  <c r="C1318" i="7" s="1"/>
  <c r="B1317" i="7"/>
  <c r="C1317" i="7" s="1"/>
  <c r="B1316" i="7"/>
  <c r="C1316" i="7" s="1"/>
  <c r="B1315" i="7"/>
  <c r="C1315" i="7" s="1"/>
  <c r="B1314" i="7"/>
  <c r="C1314" i="7" s="1"/>
  <c r="B1313" i="7"/>
  <c r="C1313" i="7" s="1"/>
  <c r="B1312" i="7"/>
  <c r="C1312" i="7" s="1"/>
  <c r="B1311" i="7"/>
  <c r="C1311" i="7" s="1"/>
  <c r="B1310" i="7"/>
  <c r="C1310" i="7" s="1"/>
  <c r="B1309" i="7"/>
  <c r="C1309" i="7" s="1"/>
  <c r="B1308" i="7"/>
  <c r="C1308" i="7" s="1"/>
  <c r="B1307" i="7"/>
  <c r="C1307" i="7" s="1"/>
  <c r="B1306" i="7"/>
  <c r="C1306" i="7" s="1"/>
  <c r="B1305" i="7"/>
  <c r="C1305" i="7" s="1"/>
  <c r="B1304" i="7"/>
  <c r="C1304" i="7" s="1"/>
  <c r="B1303" i="7"/>
  <c r="C1303" i="7" s="1"/>
  <c r="B1302" i="7"/>
  <c r="C1302" i="7" s="1"/>
  <c r="B1301" i="7"/>
  <c r="C1301" i="7" s="1"/>
  <c r="B1300" i="7"/>
  <c r="C1300" i="7" s="1"/>
  <c r="B1299" i="7"/>
  <c r="C1299" i="7" s="1"/>
  <c r="B1298" i="7"/>
  <c r="C1298" i="7" s="1"/>
  <c r="B1297" i="7"/>
  <c r="C1297" i="7" s="1"/>
  <c r="B1296" i="7"/>
  <c r="C1296" i="7" s="1"/>
  <c r="B1295" i="7"/>
  <c r="C1295" i="7" s="1"/>
  <c r="B1294" i="7"/>
  <c r="C1294" i="7" s="1"/>
  <c r="B1293" i="7"/>
  <c r="C1293" i="7" s="1"/>
  <c r="B1292" i="7"/>
  <c r="C1292" i="7" s="1"/>
  <c r="B1291" i="7"/>
  <c r="C1291" i="7" s="1"/>
  <c r="B1290" i="7"/>
  <c r="C1290" i="7" s="1"/>
  <c r="B1289" i="7"/>
  <c r="C1289" i="7" s="1"/>
  <c r="B1288" i="7"/>
  <c r="C1288" i="7" s="1"/>
  <c r="B1287" i="7"/>
  <c r="C1287" i="7" s="1"/>
  <c r="B1286" i="7"/>
  <c r="C1286" i="7" s="1"/>
  <c r="B1285" i="7"/>
  <c r="C1285" i="7" s="1"/>
  <c r="B1284" i="7"/>
  <c r="C1284" i="7" s="1"/>
  <c r="B1283" i="7"/>
  <c r="C1283" i="7" s="1"/>
  <c r="B1282" i="7"/>
  <c r="C1282" i="7" s="1"/>
  <c r="B1281" i="7"/>
  <c r="C1281" i="7" s="1"/>
  <c r="B1280" i="7"/>
  <c r="C1280" i="7" s="1"/>
  <c r="B1279" i="7"/>
  <c r="C1279" i="7" s="1"/>
  <c r="B1278" i="7"/>
  <c r="C1278" i="7" s="1"/>
  <c r="B1277" i="7"/>
  <c r="C1277" i="7" s="1"/>
  <c r="B1276" i="7"/>
  <c r="C1276" i="7" s="1"/>
  <c r="B1275" i="7"/>
  <c r="C1275" i="7" s="1"/>
  <c r="B1274" i="7"/>
  <c r="C1274" i="7" s="1"/>
  <c r="B1273" i="7"/>
  <c r="C1273" i="7" s="1"/>
  <c r="B1272" i="7"/>
  <c r="C1272" i="7" s="1"/>
  <c r="B1271" i="7"/>
  <c r="C1271" i="7" s="1"/>
  <c r="B1270" i="7"/>
  <c r="C1270" i="7" s="1"/>
  <c r="B1269" i="7"/>
  <c r="C1269" i="7" s="1"/>
  <c r="B1268" i="7"/>
  <c r="C1268" i="7" s="1"/>
  <c r="B1267" i="7"/>
  <c r="C1267" i="7" s="1"/>
  <c r="B1257" i="7"/>
  <c r="C1257" i="7" s="1"/>
  <c r="B1249" i="7"/>
  <c r="C1249" i="7" s="1"/>
  <c r="B1248" i="7"/>
  <c r="C1248" i="7" s="1"/>
  <c r="B1247" i="7"/>
  <c r="C1247" i="7" s="1"/>
  <c r="B1246" i="7"/>
  <c r="C1246" i="7" s="1"/>
  <c r="B1245" i="7"/>
  <c r="C1245" i="7" s="1"/>
  <c r="B1243" i="7"/>
  <c r="C1243" i="7" s="1"/>
  <c r="B1240" i="7"/>
  <c r="C1240" i="7" s="1"/>
  <c r="B1239" i="7"/>
  <c r="C1239" i="7" s="1"/>
  <c r="B1234" i="7"/>
  <c r="C1234" i="7" s="1"/>
  <c r="B1233" i="7"/>
  <c r="C1233" i="7" s="1"/>
  <c r="B1232" i="7"/>
  <c r="C1232" i="7" s="1"/>
  <c r="B1231" i="7"/>
  <c r="C1231" i="7" s="1"/>
  <c r="B1230" i="7"/>
  <c r="C1230" i="7" s="1"/>
  <c r="B1227" i="7"/>
  <c r="C1227" i="7" s="1"/>
  <c r="B1222" i="7"/>
  <c r="C1222" i="7" s="1"/>
  <c r="B1219" i="7"/>
  <c r="C1219" i="7" s="1"/>
  <c r="B1216" i="7"/>
  <c r="C1216" i="7" s="1"/>
  <c r="B1215" i="7"/>
  <c r="C1215" i="7" s="1"/>
  <c r="B1214" i="7"/>
  <c r="C1214" i="7" s="1"/>
  <c r="B1213" i="7"/>
  <c r="C1213" i="7" s="1"/>
  <c r="B1212" i="7"/>
  <c r="C1212" i="7" s="1"/>
  <c r="B1211" i="7"/>
  <c r="C1211" i="7" s="1"/>
  <c r="B1209" i="7"/>
  <c r="C1209" i="7" s="1"/>
  <c r="B1208" i="7"/>
  <c r="C1208" i="7" s="1"/>
  <c r="B1205" i="7"/>
  <c r="C1205" i="7" s="1"/>
  <c r="B1202" i="7"/>
  <c r="C1202" i="7" s="1"/>
  <c r="B1200" i="7"/>
  <c r="C1200" i="7" s="1"/>
  <c r="B1199" i="7"/>
  <c r="C1199" i="7" s="1"/>
  <c r="B1198" i="7"/>
  <c r="C1198" i="7" s="1"/>
  <c r="B1196" i="7"/>
  <c r="C1196" i="7" s="1"/>
  <c r="B1195" i="7"/>
  <c r="C1195" i="7" s="1"/>
  <c r="B1194" i="7"/>
  <c r="C1194" i="7" s="1"/>
  <c r="B1191" i="7"/>
  <c r="C1191" i="7" s="1"/>
  <c r="B1190" i="7"/>
  <c r="C1190" i="7" s="1"/>
  <c r="B1189" i="7"/>
  <c r="C1189" i="7" s="1"/>
  <c r="B1188" i="7"/>
  <c r="C1188" i="7" s="1"/>
  <c r="B1186" i="7"/>
  <c r="C1186" i="7" s="1"/>
  <c r="B1184" i="7"/>
  <c r="C1184" i="7" s="1"/>
  <c r="B1176" i="7"/>
  <c r="C1176" i="7" s="1"/>
  <c r="B1173" i="7"/>
  <c r="C1173" i="7" s="1"/>
  <c r="B1170" i="7"/>
  <c r="C1170" i="7" s="1"/>
  <c r="B1168" i="7"/>
  <c r="C1168" i="7" s="1"/>
  <c r="B1158" i="7"/>
  <c r="C1158" i="7" s="1"/>
  <c r="B1157" i="7"/>
  <c r="C1157" i="7" s="1"/>
  <c r="B1156" i="7"/>
  <c r="C1156" i="7" s="1"/>
  <c r="B1155" i="7"/>
  <c r="C1155" i="7" s="1"/>
  <c r="B1154" i="7"/>
  <c r="C1154" i="7" s="1"/>
  <c r="B1153" i="7"/>
  <c r="C1153" i="7" s="1"/>
  <c r="B1152" i="7"/>
  <c r="C1152" i="7" s="1"/>
  <c r="B1151" i="7"/>
  <c r="C1151" i="7" s="1"/>
  <c r="B1150" i="7"/>
  <c r="C1150" i="7" s="1"/>
  <c r="B1149" i="7"/>
  <c r="C1149" i="7" s="1"/>
  <c r="B1148" i="7"/>
  <c r="C1148" i="7" s="1"/>
  <c r="B1147" i="7"/>
  <c r="C1147" i="7" s="1"/>
  <c r="B1146" i="7"/>
  <c r="C1146" i="7" s="1"/>
  <c r="B1145" i="7"/>
  <c r="C1145" i="7" s="1"/>
  <c r="B1144" i="7"/>
  <c r="C1144" i="7" s="1"/>
  <c r="B1143" i="7"/>
  <c r="C1143" i="7" s="1"/>
  <c r="B1142" i="7"/>
  <c r="C1142" i="7" s="1"/>
  <c r="B1141" i="7"/>
  <c r="C1141" i="7" s="1"/>
  <c r="B1140" i="7"/>
  <c r="C1140" i="7" s="1"/>
  <c r="B1139" i="7"/>
  <c r="C1139" i="7" s="1"/>
  <c r="B1138" i="7"/>
  <c r="C1138" i="7" s="1"/>
  <c r="B1137" i="7"/>
  <c r="C1137" i="7" s="1"/>
  <c r="B1136" i="7"/>
  <c r="C1136" i="7" s="1"/>
  <c r="B1135" i="7"/>
  <c r="C1135" i="7" s="1"/>
  <c r="B1134" i="7"/>
  <c r="C1134" i="7" s="1"/>
  <c r="B1133" i="7"/>
  <c r="C1133" i="7" s="1"/>
  <c r="B1132" i="7"/>
  <c r="C1132" i="7" s="1"/>
  <c r="B1131" i="7"/>
  <c r="C1131" i="7" s="1"/>
  <c r="B1130" i="7"/>
  <c r="C1130" i="7" s="1"/>
  <c r="B1129" i="7"/>
  <c r="C1129" i="7" s="1"/>
  <c r="B1128" i="7"/>
  <c r="C1128" i="7" s="1"/>
  <c r="B1127" i="7"/>
  <c r="C1127" i="7" s="1"/>
  <c r="B1126" i="7"/>
  <c r="C1126" i="7" s="1"/>
  <c r="B1125" i="7"/>
  <c r="C1125" i="7" s="1"/>
  <c r="B1124" i="7"/>
  <c r="C1124" i="7" s="1"/>
  <c r="B1123" i="7"/>
  <c r="C1123" i="7" s="1"/>
  <c r="B1122" i="7"/>
  <c r="C1122" i="7" s="1"/>
  <c r="B1121" i="7"/>
  <c r="C1121" i="7" s="1"/>
  <c r="B1120" i="7"/>
  <c r="C1120" i="7" s="1"/>
  <c r="B1119" i="7"/>
  <c r="C1119" i="7" s="1"/>
  <c r="B1118" i="7"/>
  <c r="C1118" i="7" s="1"/>
  <c r="B1117" i="7"/>
  <c r="C1117" i="7" s="1"/>
  <c r="B1116" i="7"/>
  <c r="C1116" i="7" s="1"/>
  <c r="B1115" i="7"/>
  <c r="C1115" i="7" s="1"/>
  <c r="B1114" i="7"/>
  <c r="C1114" i="7" s="1"/>
  <c r="B1113" i="7"/>
  <c r="C1113" i="7" s="1"/>
  <c r="B1112" i="7"/>
  <c r="C1112" i="7" s="1"/>
  <c r="B1111" i="7"/>
  <c r="C1111" i="7" s="1"/>
  <c r="B1110" i="7"/>
  <c r="C1110" i="7" s="1"/>
  <c r="B1109" i="7"/>
  <c r="C1109" i="7" s="1"/>
  <c r="B1108" i="7"/>
  <c r="C1108" i="7" s="1"/>
  <c r="B1107" i="7"/>
  <c r="C1107" i="7" s="1"/>
  <c r="B1105" i="7"/>
  <c r="C1105" i="7" s="1"/>
  <c r="B1096" i="7"/>
  <c r="C1096" i="7" s="1"/>
  <c r="B1095" i="7"/>
  <c r="C1095" i="7" s="1"/>
  <c r="B1094" i="7"/>
  <c r="C1094" i="7" s="1"/>
  <c r="B1093" i="7"/>
  <c r="C1093" i="7" s="1"/>
  <c r="B1092" i="7"/>
  <c r="C1092" i="7" s="1"/>
  <c r="B1091" i="7"/>
  <c r="C1091" i="7" s="1"/>
  <c r="B1090" i="7"/>
  <c r="C1090" i="7" s="1"/>
  <c r="B1089" i="7"/>
  <c r="C1089" i="7" s="1"/>
  <c r="B1088" i="7"/>
  <c r="C1088" i="7" s="1"/>
  <c r="B1087" i="7"/>
  <c r="C1087" i="7" s="1"/>
  <c r="B1086" i="7"/>
  <c r="C1086" i="7" s="1"/>
  <c r="B1085" i="7"/>
  <c r="C1085" i="7" s="1"/>
  <c r="B1084" i="7"/>
  <c r="C1084" i="7" s="1"/>
  <c r="B1083" i="7"/>
  <c r="C1083" i="7" s="1"/>
  <c r="B1082" i="7"/>
  <c r="C1082" i="7" s="1"/>
  <c r="B1081" i="7"/>
  <c r="C1081" i="7" s="1"/>
  <c r="B1080" i="7"/>
  <c r="C1080" i="7" s="1"/>
  <c r="B1079" i="7"/>
  <c r="C1079" i="7" s="1"/>
  <c r="B1078" i="7"/>
  <c r="C1078" i="7" s="1"/>
  <c r="B1077" i="7"/>
  <c r="C1077" i="7" s="1"/>
  <c r="B1076" i="7"/>
  <c r="C1076" i="7" s="1"/>
  <c r="B1075" i="7"/>
  <c r="C1075" i="7" s="1"/>
  <c r="B1074" i="7"/>
  <c r="C1074" i="7" s="1"/>
  <c r="B1073" i="7"/>
  <c r="C1073" i="7" s="1"/>
  <c r="B1072" i="7"/>
  <c r="C1072" i="7" s="1"/>
  <c r="B1071" i="7"/>
  <c r="C1071" i="7" s="1"/>
  <c r="B1070" i="7"/>
  <c r="C1070" i="7" s="1"/>
  <c r="B1069" i="7"/>
  <c r="C1069" i="7" s="1"/>
  <c r="B1068" i="7"/>
  <c r="C1068" i="7" s="1"/>
  <c r="B1067" i="7"/>
  <c r="C1067" i="7" s="1"/>
  <c r="B1066" i="7"/>
  <c r="C1066" i="7" s="1"/>
  <c r="B1065" i="7"/>
  <c r="C1065" i="7" s="1"/>
  <c r="B1064" i="7"/>
  <c r="C1064" i="7" s="1"/>
  <c r="B1063" i="7"/>
  <c r="C1063" i="7" s="1"/>
  <c r="B1062" i="7"/>
  <c r="C1062" i="7" s="1"/>
  <c r="B1061" i="7"/>
  <c r="C1061" i="7" s="1"/>
  <c r="B1060" i="7"/>
  <c r="C1060" i="7" s="1"/>
  <c r="B1059" i="7"/>
  <c r="C1059" i="7" s="1"/>
  <c r="B1058" i="7"/>
  <c r="C1058" i="7" s="1"/>
  <c r="B1057" i="7"/>
  <c r="C1057" i="7" s="1"/>
  <c r="B1056" i="7"/>
  <c r="C1056" i="7" s="1"/>
  <c r="B1055" i="7"/>
  <c r="C1055" i="7" s="1"/>
  <c r="B1054" i="7"/>
  <c r="C1054" i="7" s="1"/>
  <c r="B1053" i="7"/>
  <c r="C1053" i="7" s="1"/>
  <c r="B1052" i="7"/>
  <c r="C1052" i="7" s="1"/>
  <c r="B1051" i="7"/>
  <c r="C1051" i="7" s="1"/>
  <c r="B1050" i="7"/>
  <c r="C1050" i="7" s="1"/>
  <c r="B1049" i="7"/>
  <c r="C1049" i="7" s="1"/>
  <c r="B1048" i="7"/>
  <c r="C1048" i="7" s="1"/>
  <c r="B1047" i="7"/>
  <c r="C1047" i="7" s="1"/>
  <c r="B1046" i="7"/>
  <c r="C1046" i="7" s="1"/>
  <c r="B1045" i="7"/>
  <c r="C1045" i="7" s="1"/>
  <c r="B1044" i="7"/>
  <c r="C1044" i="7" s="1"/>
  <c r="B1043" i="7"/>
  <c r="C1043" i="7" s="1"/>
  <c r="B1042" i="7"/>
  <c r="C1042" i="7" s="1"/>
  <c r="B1041" i="7"/>
  <c r="C1041" i="7" s="1"/>
  <c r="B1040" i="7"/>
  <c r="C1040" i="7" s="1"/>
  <c r="B1039" i="7"/>
  <c r="C1039" i="7" s="1"/>
  <c r="B1038" i="7"/>
  <c r="C1038" i="7" s="1"/>
  <c r="B1037" i="7"/>
  <c r="C1037" i="7" s="1"/>
  <c r="B1036" i="7"/>
  <c r="C1036" i="7" s="1"/>
  <c r="B1035" i="7"/>
  <c r="C1035" i="7" s="1"/>
  <c r="B1034" i="7"/>
  <c r="C1034" i="7" s="1"/>
  <c r="B1033" i="7"/>
  <c r="C1033" i="7" s="1"/>
  <c r="B1032" i="7"/>
  <c r="C1032" i="7" s="1"/>
  <c r="B1031" i="7"/>
  <c r="C1031" i="7" s="1"/>
  <c r="B1030" i="7"/>
  <c r="C1030" i="7" s="1"/>
  <c r="B1029" i="7"/>
  <c r="C1029" i="7" s="1"/>
  <c r="B1028" i="7"/>
  <c r="C1028" i="7" s="1"/>
  <c r="B1027" i="7"/>
  <c r="C1027" i="7" s="1"/>
  <c r="B1026" i="7"/>
  <c r="C1026" i="7" s="1"/>
  <c r="B1025" i="7"/>
  <c r="C1025" i="7" s="1"/>
  <c r="B1024" i="7"/>
  <c r="C1024" i="7" s="1"/>
  <c r="B1023" i="7"/>
  <c r="C1023" i="7" s="1"/>
  <c r="B1022" i="7"/>
  <c r="C1022" i="7" s="1"/>
  <c r="B1021" i="7"/>
  <c r="C1021" i="7" s="1"/>
  <c r="B1020" i="7"/>
  <c r="C1020" i="7" s="1"/>
  <c r="B1019" i="7"/>
  <c r="C1019" i="7" s="1"/>
  <c r="B1018" i="7"/>
  <c r="C1018" i="7" s="1"/>
  <c r="B1017" i="7"/>
  <c r="C1017" i="7" s="1"/>
  <c r="B1016" i="7"/>
  <c r="C1016" i="7" s="1"/>
  <c r="B1015" i="7"/>
  <c r="C1015" i="7" s="1"/>
  <c r="B1014" i="7"/>
  <c r="C1014" i="7" s="1"/>
  <c r="B1013" i="7"/>
  <c r="C1013" i="7" s="1"/>
  <c r="B1012" i="7"/>
  <c r="C1012" i="7" s="1"/>
  <c r="B1011" i="7"/>
  <c r="C1011" i="7" s="1"/>
  <c r="B1010" i="7"/>
  <c r="C1010" i="7" s="1"/>
  <c r="B1009" i="7"/>
  <c r="C1009" i="7" s="1"/>
  <c r="B1008" i="7"/>
  <c r="C1008" i="7" s="1"/>
  <c r="B1007" i="7"/>
  <c r="C1007" i="7" s="1"/>
  <c r="B1006" i="7"/>
  <c r="C1006" i="7" s="1"/>
  <c r="B1005" i="7"/>
  <c r="C1005" i="7" s="1"/>
  <c r="B1004" i="7"/>
  <c r="C1004" i="7" s="1"/>
  <c r="B1003" i="7"/>
  <c r="C1003" i="7" s="1"/>
  <c r="B1002" i="7"/>
  <c r="C1002" i="7" s="1"/>
  <c r="B1001" i="7"/>
  <c r="C1001" i="7" s="1"/>
  <c r="B1000" i="7"/>
  <c r="C1000" i="7" s="1"/>
  <c r="B999" i="7"/>
  <c r="C999" i="7" s="1"/>
  <c r="B998" i="7"/>
  <c r="C998" i="7" s="1"/>
  <c r="B997" i="7"/>
  <c r="C997" i="7" s="1"/>
  <c r="B996" i="7"/>
  <c r="C996" i="7" s="1"/>
  <c r="B995" i="7"/>
  <c r="C995" i="7" s="1"/>
  <c r="B994" i="7"/>
  <c r="C994" i="7" s="1"/>
  <c r="B993" i="7"/>
  <c r="C993" i="7" s="1"/>
  <c r="B992" i="7"/>
  <c r="C992" i="7" s="1"/>
  <c r="B991" i="7"/>
  <c r="C991" i="7" s="1"/>
  <c r="B990" i="7"/>
  <c r="C990" i="7" s="1"/>
  <c r="B989" i="7"/>
  <c r="C989" i="7" s="1"/>
  <c r="B988" i="7"/>
  <c r="C988" i="7" s="1"/>
  <c r="B987" i="7"/>
  <c r="C987" i="7" s="1"/>
  <c r="B986" i="7"/>
  <c r="C986" i="7" s="1"/>
  <c r="B985" i="7"/>
  <c r="C985" i="7" s="1"/>
  <c r="B984" i="7"/>
  <c r="C984" i="7" s="1"/>
  <c r="B983" i="7"/>
  <c r="C983" i="7" s="1"/>
  <c r="B982" i="7"/>
  <c r="C982" i="7" s="1"/>
  <c r="B981" i="7"/>
  <c r="C981" i="7" s="1"/>
  <c r="B980" i="7"/>
  <c r="C980" i="7" s="1"/>
  <c r="B979" i="7"/>
  <c r="C979" i="7" s="1"/>
  <c r="B978" i="7"/>
  <c r="C978" i="7" s="1"/>
  <c r="B977" i="7"/>
  <c r="C977" i="7" s="1"/>
  <c r="B976" i="7"/>
  <c r="C976" i="7" s="1"/>
  <c r="B975" i="7"/>
  <c r="C975" i="7" s="1"/>
  <c r="B974" i="7"/>
  <c r="C974" i="7" s="1"/>
  <c r="B973" i="7"/>
  <c r="C973" i="7" s="1"/>
  <c r="B972" i="7"/>
  <c r="C972" i="7" s="1"/>
  <c r="B971" i="7"/>
  <c r="C971" i="7" s="1"/>
  <c r="B970" i="7"/>
  <c r="C970" i="7" s="1"/>
  <c r="B969" i="7"/>
  <c r="C969" i="7" s="1"/>
  <c r="B968" i="7"/>
  <c r="C968" i="7" s="1"/>
  <c r="B967" i="7"/>
  <c r="C967" i="7" s="1"/>
  <c r="B966" i="7"/>
  <c r="C966" i="7" s="1"/>
  <c r="B965" i="7"/>
  <c r="C965" i="7" s="1"/>
  <c r="B964" i="7"/>
  <c r="C964" i="7" s="1"/>
  <c r="B963" i="7"/>
  <c r="C963" i="7" s="1"/>
  <c r="B962" i="7"/>
  <c r="C962" i="7" s="1"/>
  <c r="B961" i="7"/>
  <c r="C961" i="7" s="1"/>
  <c r="B960" i="7"/>
  <c r="C960" i="7" s="1"/>
  <c r="B959" i="7"/>
  <c r="C959" i="7" s="1"/>
  <c r="B958" i="7"/>
  <c r="C958" i="7" s="1"/>
  <c r="B957" i="7"/>
  <c r="C957" i="7" s="1"/>
  <c r="B956" i="7"/>
  <c r="C956" i="7" s="1"/>
  <c r="B955" i="7"/>
  <c r="C955" i="7" s="1"/>
  <c r="B954" i="7"/>
  <c r="C954" i="7" s="1"/>
  <c r="B953" i="7"/>
  <c r="C953" i="7" s="1"/>
  <c r="B952" i="7"/>
  <c r="C952" i="7" s="1"/>
  <c r="B951" i="7"/>
  <c r="C951" i="7" s="1"/>
  <c r="B950" i="7"/>
  <c r="C950" i="7" s="1"/>
  <c r="B949" i="7"/>
  <c r="C949" i="7" s="1"/>
  <c r="B948" i="7"/>
  <c r="C948" i="7" s="1"/>
  <c r="B947" i="7"/>
  <c r="C947" i="7" s="1"/>
  <c r="B946" i="7"/>
  <c r="C946" i="7" s="1"/>
  <c r="B945" i="7"/>
  <c r="C945" i="7" s="1"/>
  <c r="B944" i="7"/>
  <c r="C944" i="7" s="1"/>
  <c r="B943" i="7"/>
  <c r="C943" i="7" s="1"/>
  <c r="B942" i="7"/>
  <c r="C942" i="7" s="1"/>
  <c r="B941" i="7"/>
  <c r="C941" i="7" s="1"/>
  <c r="B940" i="7"/>
  <c r="C940" i="7" s="1"/>
  <c r="B939" i="7"/>
  <c r="C939" i="7" s="1"/>
  <c r="B938" i="7"/>
  <c r="C938" i="7" s="1"/>
  <c r="B937" i="7"/>
  <c r="C937" i="7" s="1"/>
  <c r="B936" i="7"/>
  <c r="C936" i="7" s="1"/>
  <c r="B935" i="7"/>
  <c r="C935" i="7" s="1"/>
  <c r="B934" i="7"/>
  <c r="C934" i="7" s="1"/>
  <c r="B933" i="7"/>
  <c r="C933" i="7" s="1"/>
  <c r="B932" i="7"/>
  <c r="C932" i="7" s="1"/>
  <c r="B931" i="7"/>
  <c r="C931" i="7" s="1"/>
  <c r="B930" i="7"/>
  <c r="C930" i="7" s="1"/>
  <c r="B929" i="7"/>
  <c r="C929" i="7" s="1"/>
  <c r="B928" i="7"/>
  <c r="C928" i="7" s="1"/>
  <c r="B927" i="7"/>
  <c r="C927" i="7" s="1"/>
  <c r="B926" i="7"/>
  <c r="C926" i="7" s="1"/>
  <c r="B925" i="7"/>
  <c r="C925" i="7" s="1"/>
  <c r="B924" i="7"/>
  <c r="C924" i="7" s="1"/>
  <c r="B923" i="7"/>
  <c r="C923" i="7" s="1"/>
  <c r="B922" i="7"/>
  <c r="C922" i="7" s="1"/>
  <c r="B921" i="7"/>
  <c r="C921" i="7" s="1"/>
  <c r="B920" i="7"/>
  <c r="C920" i="7" s="1"/>
  <c r="B919" i="7"/>
  <c r="C919" i="7" s="1"/>
  <c r="B918" i="7"/>
  <c r="C918" i="7" s="1"/>
  <c r="B917" i="7"/>
  <c r="C917" i="7" s="1"/>
  <c r="B916" i="7"/>
  <c r="C916" i="7" s="1"/>
  <c r="B915" i="7"/>
  <c r="C915" i="7" s="1"/>
  <c r="B914" i="7"/>
  <c r="C914" i="7" s="1"/>
  <c r="B913" i="7"/>
  <c r="C913" i="7" s="1"/>
  <c r="B912" i="7"/>
  <c r="C912" i="7" s="1"/>
  <c r="B911" i="7"/>
  <c r="C911" i="7" s="1"/>
  <c r="B910" i="7"/>
  <c r="C910" i="7" s="1"/>
  <c r="B909" i="7"/>
  <c r="C909" i="7" s="1"/>
  <c r="B908" i="7"/>
  <c r="C908" i="7" s="1"/>
  <c r="B907" i="7"/>
  <c r="C907" i="7" s="1"/>
  <c r="B906" i="7"/>
  <c r="C906" i="7" s="1"/>
  <c r="B905" i="7"/>
  <c r="C905" i="7" s="1"/>
  <c r="B904" i="7"/>
  <c r="C904" i="7" s="1"/>
  <c r="B903" i="7"/>
  <c r="C903" i="7" s="1"/>
  <c r="B902" i="7"/>
  <c r="C902" i="7" s="1"/>
  <c r="B901" i="7"/>
  <c r="C901" i="7" s="1"/>
  <c r="B900" i="7"/>
  <c r="C900" i="7" s="1"/>
  <c r="B899" i="7"/>
  <c r="C899" i="7" s="1"/>
  <c r="B898" i="7"/>
  <c r="C898" i="7" s="1"/>
  <c r="B897" i="7"/>
  <c r="C897" i="7" s="1"/>
  <c r="B896" i="7"/>
  <c r="C896" i="7" s="1"/>
  <c r="B895" i="7"/>
  <c r="C895" i="7" s="1"/>
  <c r="B894" i="7"/>
  <c r="C894" i="7" s="1"/>
  <c r="B893" i="7"/>
  <c r="C893" i="7" s="1"/>
  <c r="B892" i="7"/>
  <c r="C892" i="7" s="1"/>
  <c r="B891" i="7"/>
  <c r="C891" i="7" s="1"/>
  <c r="B890" i="7"/>
  <c r="C890" i="7" s="1"/>
  <c r="B889" i="7"/>
  <c r="C889" i="7" s="1"/>
  <c r="B888" i="7"/>
  <c r="C888" i="7" s="1"/>
  <c r="B887" i="7"/>
  <c r="C887" i="7" s="1"/>
  <c r="B886" i="7"/>
  <c r="C886" i="7" s="1"/>
  <c r="B885" i="7"/>
  <c r="C885" i="7" s="1"/>
  <c r="B884" i="7"/>
  <c r="C884" i="7" s="1"/>
  <c r="B883" i="7"/>
  <c r="C883" i="7" s="1"/>
  <c r="B882" i="7"/>
  <c r="C882" i="7" s="1"/>
  <c r="B881" i="7"/>
  <c r="C881" i="7" s="1"/>
  <c r="B880" i="7"/>
  <c r="C880" i="7" s="1"/>
  <c r="B879" i="7"/>
  <c r="C879" i="7" s="1"/>
  <c r="B878" i="7"/>
  <c r="C878" i="7" s="1"/>
  <c r="B877" i="7"/>
  <c r="C877" i="7" s="1"/>
  <c r="B876" i="7"/>
  <c r="C876" i="7" s="1"/>
  <c r="B875" i="7"/>
  <c r="C875" i="7" s="1"/>
  <c r="B874" i="7"/>
  <c r="C874" i="7" s="1"/>
  <c r="B873" i="7"/>
  <c r="C873" i="7" s="1"/>
  <c r="B872" i="7"/>
  <c r="C872" i="7" s="1"/>
  <c r="B871" i="7"/>
  <c r="C871" i="7" s="1"/>
  <c r="B870" i="7"/>
  <c r="C870" i="7" s="1"/>
  <c r="B869" i="7"/>
  <c r="C869" i="7" s="1"/>
  <c r="B868" i="7"/>
  <c r="C868" i="7" s="1"/>
  <c r="B867" i="7"/>
  <c r="C867" i="7" s="1"/>
  <c r="B866" i="7"/>
  <c r="C866" i="7" s="1"/>
  <c r="B865" i="7"/>
  <c r="C865" i="7" s="1"/>
  <c r="B864" i="7"/>
  <c r="C864" i="7" s="1"/>
  <c r="B863" i="7"/>
  <c r="C863" i="7" s="1"/>
  <c r="B862" i="7"/>
  <c r="C862" i="7" s="1"/>
  <c r="B861" i="7"/>
  <c r="C861" i="7" s="1"/>
  <c r="B860" i="7"/>
  <c r="C860" i="7" s="1"/>
  <c r="B859" i="7"/>
  <c r="C859" i="7" s="1"/>
  <c r="B858" i="7"/>
  <c r="C858" i="7" s="1"/>
  <c r="B857" i="7"/>
  <c r="C857" i="7" s="1"/>
  <c r="B856" i="7"/>
  <c r="C856" i="7" s="1"/>
  <c r="B855" i="7"/>
  <c r="C855" i="7" s="1"/>
  <c r="B854" i="7"/>
  <c r="C854" i="7" s="1"/>
  <c r="B853" i="7"/>
  <c r="C853" i="7" s="1"/>
  <c r="B852" i="7"/>
  <c r="C852" i="7" s="1"/>
  <c r="B851" i="7"/>
  <c r="C851" i="7" s="1"/>
  <c r="B850" i="7"/>
  <c r="C850" i="7" s="1"/>
  <c r="B849" i="7"/>
  <c r="C849" i="7" s="1"/>
  <c r="B848" i="7"/>
  <c r="C848" i="7" s="1"/>
  <c r="B847" i="7"/>
  <c r="C847" i="7" s="1"/>
  <c r="B846" i="7"/>
  <c r="C846" i="7" s="1"/>
  <c r="B845" i="7"/>
  <c r="C845" i="7" s="1"/>
  <c r="B844" i="7"/>
  <c r="C844" i="7" s="1"/>
  <c r="B843" i="7"/>
  <c r="C843" i="7" s="1"/>
  <c r="B842" i="7"/>
  <c r="C842" i="7" s="1"/>
  <c r="B841" i="7"/>
  <c r="C841" i="7" s="1"/>
  <c r="B840" i="7"/>
  <c r="C840" i="7" s="1"/>
  <c r="B839" i="7"/>
  <c r="C839" i="7" s="1"/>
  <c r="B838" i="7"/>
  <c r="C838" i="7" s="1"/>
  <c r="B837" i="7"/>
  <c r="C837" i="7" s="1"/>
  <c r="B836" i="7"/>
  <c r="C836" i="7" s="1"/>
  <c r="B835" i="7"/>
  <c r="C835" i="7" s="1"/>
  <c r="B834" i="7"/>
  <c r="C834" i="7" s="1"/>
  <c r="B833" i="7"/>
  <c r="C833" i="7" s="1"/>
  <c r="B832" i="7"/>
  <c r="C832" i="7" s="1"/>
  <c r="B831" i="7"/>
  <c r="C831" i="7" s="1"/>
  <c r="B830" i="7"/>
  <c r="C830" i="7" s="1"/>
  <c r="B829" i="7"/>
  <c r="C829" i="7" s="1"/>
  <c r="B828" i="7"/>
  <c r="C828" i="7" s="1"/>
  <c r="B827" i="7"/>
  <c r="C827" i="7" s="1"/>
  <c r="B826" i="7"/>
  <c r="C826" i="7" s="1"/>
  <c r="B825" i="7"/>
  <c r="C825" i="7" s="1"/>
  <c r="B824" i="7"/>
  <c r="C824" i="7" s="1"/>
  <c r="B823" i="7"/>
  <c r="C823" i="7" s="1"/>
  <c r="B822" i="7"/>
  <c r="C822" i="7" s="1"/>
  <c r="B821" i="7"/>
  <c r="C821" i="7" s="1"/>
  <c r="B820" i="7"/>
  <c r="C820" i="7" s="1"/>
  <c r="B819" i="7"/>
  <c r="C819" i="7" s="1"/>
  <c r="B818" i="7"/>
  <c r="C818" i="7" s="1"/>
  <c r="B817" i="7"/>
  <c r="C817" i="7" s="1"/>
  <c r="B816" i="7"/>
  <c r="C816" i="7" s="1"/>
  <c r="B815" i="7"/>
  <c r="C815" i="7" s="1"/>
  <c r="B814" i="7"/>
  <c r="C814" i="7" s="1"/>
  <c r="B813" i="7"/>
  <c r="C813" i="7" s="1"/>
  <c r="B812" i="7"/>
  <c r="C812" i="7" s="1"/>
  <c r="B811" i="7"/>
  <c r="C811" i="7" s="1"/>
  <c r="B810" i="7"/>
  <c r="C810" i="7" s="1"/>
  <c r="B809" i="7"/>
  <c r="C809" i="7" s="1"/>
  <c r="B808" i="7"/>
  <c r="C808" i="7" s="1"/>
  <c r="B807" i="7"/>
  <c r="C807" i="7" s="1"/>
  <c r="B806" i="7"/>
  <c r="C806" i="7" s="1"/>
  <c r="B805" i="7"/>
  <c r="C805" i="7" s="1"/>
  <c r="B804" i="7"/>
  <c r="C804" i="7" s="1"/>
  <c r="B803" i="7"/>
  <c r="C803" i="7" s="1"/>
  <c r="B802" i="7"/>
  <c r="C802" i="7" s="1"/>
  <c r="B801" i="7"/>
  <c r="C801" i="7" s="1"/>
  <c r="B800" i="7"/>
  <c r="C800" i="7" s="1"/>
  <c r="B799" i="7"/>
  <c r="C799" i="7" s="1"/>
  <c r="B798" i="7"/>
  <c r="C798" i="7" s="1"/>
  <c r="B797" i="7"/>
  <c r="C797" i="7" s="1"/>
  <c r="B796" i="7"/>
  <c r="C796" i="7" s="1"/>
  <c r="B795" i="7"/>
  <c r="C795" i="7" s="1"/>
  <c r="B794" i="7"/>
  <c r="C794" i="7" s="1"/>
  <c r="B793" i="7"/>
  <c r="C793" i="7" s="1"/>
  <c r="B792" i="7"/>
  <c r="C792" i="7" s="1"/>
  <c r="B791" i="7"/>
  <c r="C791" i="7" s="1"/>
  <c r="B790" i="7"/>
  <c r="C790" i="7" s="1"/>
  <c r="B789" i="7"/>
  <c r="C789" i="7" s="1"/>
  <c r="B788" i="7"/>
  <c r="C788" i="7" s="1"/>
  <c r="B787" i="7"/>
  <c r="C787" i="7" s="1"/>
  <c r="B786" i="7"/>
  <c r="C786" i="7" s="1"/>
  <c r="B785" i="7"/>
  <c r="C785" i="7" s="1"/>
  <c r="B784" i="7"/>
  <c r="C784" i="7" s="1"/>
  <c r="B783" i="7"/>
  <c r="C783" i="7" s="1"/>
  <c r="B782" i="7"/>
  <c r="C782" i="7" s="1"/>
  <c r="B781" i="7"/>
  <c r="C781" i="7" s="1"/>
  <c r="B780" i="7"/>
  <c r="C780" i="7" s="1"/>
  <c r="B779" i="7"/>
  <c r="C779" i="7" s="1"/>
  <c r="B778" i="7"/>
  <c r="C778" i="7" s="1"/>
  <c r="B777" i="7"/>
  <c r="C777" i="7" s="1"/>
  <c r="B776" i="7"/>
  <c r="C776" i="7" s="1"/>
  <c r="B775" i="7"/>
  <c r="C775" i="7" s="1"/>
  <c r="B774" i="7"/>
  <c r="C774" i="7" s="1"/>
  <c r="B773" i="7"/>
  <c r="C773" i="7" s="1"/>
  <c r="B772" i="7"/>
  <c r="C772" i="7" s="1"/>
  <c r="B771" i="7"/>
  <c r="C771" i="7" s="1"/>
  <c r="B770" i="7"/>
  <c r="C770" i="7" s="1"/>
  <c r="B769" i="7"/>
  <c r="C769" i="7" s="1"/>
  <c r="B768" i="7"/>
  <c r="C768" i="7" s="1"/>
  <c r="B767" i="7"/>
  <c r="C767" i="7" s="1"/>
  <c r="B766" i="7"/>
  <c r="C766" i="7" s="1"/>
  <c r="B765" i="7"/>
  <c r="C765" i="7" s="1"/>
  <c r="B764" i="7"/>
  <c r="C764" i="7" s="1"/>
  <c r="B763" i="7"/>
  <c r="C763" i="7" s="1"/>
  <c r="B762" i="7"/>
  <c r="C762" i="7" s="1"/>
  <c r="B761" i="7"/>
  <c r="C761" i="7" s="1"/>
  <c r="B760" i="7"/>
  <c r="C760" i="7" s="1"/>
  <c r="B759" i="7"/>
  <c r="C759" i="7" s="1"/>
  <c r="B758" i="7"/>
  <c r="C758" i="7" s="1"/>
  <c r="B757" i="7"/>
  <c r="C757" i="7" s="1"/>
  <c r="B756" i="7"/>
  <c r="C756" i="7" s="1"/>
  <c r="B755" i="7"/>
  <c r="C755" i="7" s="1"/>
  <c r="B754" i="7"/>
  <c r="C754" i="7" s="1"/>
  <c r="B753" i="7"/>
  <c r="C753" i="7" s="1"/>
  <c r="B752" i="7"/>
  <c r="C752" i="7" s="1"/>
  <c r="B751" i="7"/>
  <c r="C751" i="7" s="1"/>
  <c r="B750" i="7"/>
  <c r="C750" i="7" s="1"/>
  <c r="B749" i="7"/>
  <c r="C749" i="7" s="1"/>
  <c r="B748" i="7"/>
  <c r="C748" i="7" s="1"/>
  <c r="B747" i="7"/>
  <c r="C747" i="7" s="1"/>
  <c r="B746" i="7"/>
  <c r="C746" i="7" s="1"/>
  <c r="B745" i="7"/>
  <c r="C745" i="7" s="1"/>
  <c r="B744" i="7"/>
  <c r="C744" i="7" s="1"/>
  <c r="B743" i="7"/>
  <c r="C743" i="7" s="1"/>
  <c r="B742" i="7"/>
  <c r="C742" i="7" s="1"/>
  <c r="B741" i="7"/>
  <c r="C741" i="7" s="1"/>
  <c r="B740" i="7"/>
  <c r="C740" i="7" s="1"/>
  <c r="B739" i="7"/>
  <c r="C739" i="7" s="1"/>
  <c r="B738" i="7"/>
  <c r="C738" i="7" s="1"/>
  <c r="B737" i="7"/>
  <c r="C737" i="7" s="1"/>
  <c r="B736" i="7"/>
  <c r="C736" i="7" s="1"/>
  <c r="B735" i="7"/>
  <c r="C735" i="7" s="1"/>
  <c r="B734" i="7"/>
  <c r="C734" i="7" s="1"/>
  <c r="B733" i="7"/>
  <c r="C733" i="7" s="1"/>
  <c r="B732" i="7"/>
  <c r="C732" i="7" s="1"/>
  <c r="B731" i="7"/>
  <c r="C731" i="7" s="1"/>
  <c r="B730" i="7"/>
  <c r="C730" i="7" s="1"/>
  <c r="B729" i="7"/>
  <c r="C729" i="7" s="1"/>
  <c r="B728" i="7"/>
  <c r="C728" i="7" s="1"/>
  <c r="B727" i="7"/>
  <c r="C727" i="7" s="1"/>
  <c r="B726" i="7"/>
  <c r="C726" i="7" s="1"/>
  <c r="B725" i="7"/>
  <c r="C725" i="7" s="1"/>
  <c r="B724" i="7"/>
  <c r="C724" i="7" s="1"/>
  <c r="B723" i="7"/>
  <c r="C723" i="7" s="1"/>
  <c r="B722" i="7"/>
  <c r="C722" i="7" s="1"/>
  <c r="B721" i="7"/>
  <c r="C721" i="7" s="1"/>
  <c r="B720" i="7"/>
  <c r="C720" i="7" s="1"/>
  <c r="B719" i="7"/>
  <c r="C719" i="7" s="1"/>
  <c r="B718" i="7"/>
  <c r="C718" i="7" s="1"/>
  <c r="B717" i="7"/>
  <c r="C717" i="7" s="1"/>
  <c r="B716" i="7"/>
  <c r="C716" i="7" s="1"/>
  <c r="B715" i="7"/>
  <c r="C715" i="7" s="1"/>
  <c r="B714" i="7"/>
  <c r="C714" i="7" s="1"/>
  <c r="B713" i="7"/>
  <c r="C713" i="7" s="1"/>
  <c r="B712" i="7"/>
  <c r="C712" i="7" s="1"/>
  <c r="B711" i="7"/>
  <c r="C711" i="7" s="1"/>
  <c r="B710" i="7"/>
  <c r="C710" i="7" s="1"/>
  <c r="B709" i="7"/>
  <c r="C709" i="7" s="1"/>
  <c r="B708" i="7"/>
  <c r="C708" i="7" s="1"/>
  <c r="B707" i="7"/>
  <c r="C707" i="7" s="1"/>
  <c r="B706" i="7"/>
  <c r="C706" i="7" s="1"/>
  <c r="B705" i="7"/>
  <c r="C705" i="7" s="1"/>
  <c r="B704" i="7"/>
  <c r="C704" i="7" s="1"/>
  <c r="B703" i="7"/>
  <c r="C703" i="7" s="1"/>
  <c r="B702" i="7"/>
  <c r="C702" i="7" s="1"/>
  <c r="B701" i="7"/>
  <c r="C701" i="7" s="1"/>
  <c r="B700" i="7"/>
  <c r="C700" i="7" s="1"/>
  <c r="B699" i="7"/>
  <c r="C699" i="7" s="1"/>
  <c r="B698" i="7"/>
  <c r="C698" i="7" s="1"/>
  <c r="B697" i="7"/>
  <c r="C697" i="7" s="1"/>
  <c r="B696" i="7"/>
  <c r="C696" i="7" s="1"/>
  <c r="B695" i="7"/>
  <c r="C695" i="7" s="1"/>
  <c r="B694" i="7"/>
  <c r="C694" i="7" s="1"/>
  <c r="B693" i="7"/>
  <c r="C693" i="7" s="1"/>
  <c r="B692" i="7"/>
  <c r="C692" i="7" s="1"/>
  <c r="B691" i="7"/>
  <c r="C691" i="7" s="1"/>
  <c r="B690" i="7"/>
  <c r="C690" i="7" s="1"/>
  <c r="B689" i="7"/>
  <c r="C689" i="7" s="1"/>
  <c r="B688" i="7"/>
  <c r="C688" i="7" s="1"/>
  <c r="B687" i="7"/>
  <c r="C687" i="7" s="1"/>
  <c r="B686" i="7"/>
  <c r="C686" i="7" s="1"/>
  <c r="B685" i="7"/>
  <c r="C685" i="7" s="1"/>
  <c r="B684" i="7"/>
  <c r="C684" i="7" s="1"/>
  <c r="B683" i="7"/>
  <c r="C683" i="7" s="1"/>
  <c r="B682" i="7"/>
  <c r="C682" i="7" s="1"/>
  <c r="B681" i="7"/>
  <c r="C681" i="7" s="1"/>
  <c r="B680" i="7"/>
  <c r="C680" i="7" s="1"/>
  <c r="B679" i="7"/>
  <c r="C679" i="7" s="1"/>
  <c r="B678" i="7"/>
  <c r="C678" i="7" s="1"/>
  <c r="B677" i="7"/>
  <c r="C677" i="7" s="1"/>
  <c r="B676" i="7"/>
  <c r="C676" i="7" s="1"/>
  <c r="B675" i="7"/>
  <c r="C675" i="7" s="1"/>
  <c r="B674" i="7"/>
  <c r="C674" i="7" s="1"/>
  <c r="B673" i="7"/>
  <c r="C673" i="7" s="1"/>
  <c r="B672" i="7"/>
  <c r="C672" i="7" s="1"/>
  <c r="B671" i="7"/>
  <c r="C671" i="7" s="1"/>
  <c r="B670" i="7"/>
  <c r="C670" i="7" s="1"/>
  <c r="B669" i="7"/>
  <c r="C669" i="7" s="1"/>
  <c r="B668" i="7"/>
  <c r="C668" i="7" s="1"/>
  <c r="B667" i="7"/>
  <c r="C667" i="7" s="1"/>
  <c r="B666" i="7"/>
  <c r="C666" i="7" s="1"/>
  <c r="B665" i="7"/>
  <c r="C665" i="7" s="1"/>
  <c r="B664" i="7"/>
  <c r="C664" i="7" s="1"/>
  <c r="B663" i="7"/>
  <c r="C663" i="7" s="1"/>
  <c r="B662" i="7"/>
  <c r="C662" i="7" s="1"/>
  <c r="B661" i="7"/>
  <c r="C661" i="7" s="1"/>
  <c r="B660" i="7"/>
  <c r="C660" i="7" s="1"/>
  <c r="B659" i="7"/>
  <c r="C659" i="7" s="1"/>
  <c r="B658" i="7"/>
  <c r="C658" i="7" s="1"/>
  <c r="B657" i="7"/>
  <c r="C657" i="7" s="1"/>
  <c r="B656" i="7"/>
  <c r="C656" i="7" s="1"/>
  <c r="B655" i="7"/>
  <c r="C655" i="7" s="1"/>
  <c r="B654" i="7"/>
  <c r="C654" i="7" s="1"/>
  <c r="B653" i="7"/>
  <c r="C653" i="7" s="1"/>
  <c r="B652" i="7"/>
  <c r="C652" i="7" s="1"/>
  <c r="B651" i="7"/>
  <c r="C651" i="7" s="1"/>
  <c r="B650" i="7"/>
  <c r="C650" i="7" s="1"/>
  <c r="B649" i="7"/>
  <c r="C649" i="7" s="1"/>
  <c r="B648" i="7"/>
  <c r="C648" i="7" s="1"/>
  <c r="B647" i="7"/>
  <c r="C647" i="7" s="1"/>
  <c r="B646" i="7"/>
  <c r="C646" i="7" s="1"/>
  <c r="B645" i="7"/>
  <c r="C645" i="7" s="1"/>
  <c r="B644" i="7"/>
  <c r="C644" i="7" s="1"/>
  <c r="B643" i="7"/>
  <c r="C643" i="7" s="1"/>
  <c r="B642" i="7"/>
  <c r="C642" i="7" s="1"/>
  <c r="B641" i="7"/>
  <c r="C641" i="7" s="1"/>
  <c r="B640" i="7"/>
  <c r="C640" i="7" s="1"/>
  <c r="B639" i="7"/>
  <c r="C639" i="7" s="1"/>
  <c r="B638" i="7"/>
  <c r="C638" i="7" s="1"/>
  <c r="B637" i="7"/>
  <c r="C637" i="7" s="1"/>
  <c r="B636" i="7"/>
  <c r="C636" i="7" s="1"/>
  <c r="B635" i="7"/>
  <c r="C635" i="7" s="1"/>
  <c r="B634" i="7"/>
  <c r="C634" i="7" s="1"/>
  <c r="B633" i="7"/>
  <c r="C633" i="7" s="1"/>
  <c r="B632" i="7"/>
  <c r="C632" i="7" s="1"/>
  <c r="B631" i="7"/>
  <c r="C631" i="7" s="1"/>
  <c r="B630" i="7"/>
  <c r="C630" i="7" s="1"/>
  <c r="B629" i="7"/>
  <c r="C629" i="7" s="1"/>
  <c r="B628" i="7"/>
  <c r="C628" i="7" s="1"/>
  <c r="B627" i="7"/>
  <c r="C627" i="7" s="1"/>
  <c r="B626" i="7"/>
  <c r="C626" i="7" s="1"/>
  <c r="B625" i="7"/>
  <c r="C625" i="7" s="1"/>
  <c r="B624" i="7"/>
  <c r="C624" i="7" s="1"/>
  <c r="B623" i="7"/>
  <c r="C623" i="7" s="1"/>
  <c r="B622" i="7"/>
  <c r="C622" i="7" s="1"/>
  <c r="B621" i="7"/>
  <c r="C621" i="7" s="1"/>
  <c r="B620" i="7"/>
  <c r="C620" i="7" s="1"/>
  <c r="B619" i="7"/>
  <c r="C619" i="7" s="1"/>
  <c r="B618" i="7"/>
  <c r="C618" i="7" s="1"/>
  <c r="B617" i="7"/>
  <c r="C617" i="7" s="1"/>
  <c r="B616" i="7"/>
  <c r="C616" i="7" s="1"/>
  <c r="B615" i="7"/>
  <c r="C615" i="7" s="1"/>
  <c r="B614" i="7"/>
  <c r="C614" i="7" s="1"/>
  <c r="B613" i="7"/>
  <c r="C613" i="7" s="1"/>
  <c r="B612" i="7"/>
  <c r="C612" i="7" s="1"/>
  <c r="B611" i="7"/>
  <c r="C611" i="7" s="1"/>
  <c r="B610" i="7"/>
  <c r="C610" i="7" s="1"/>
  <c r="B609" i="7"/>
  <c r="C609" i="7" s="1"/>
  <c r="B608" i="7"/>
  <c r="C608" i="7" s="1"/>
  <c r="B607" i="7"/>
  <c r="C607" i="7" s="1"/>
  <c r="B606" i="7"/>
  <c r="C606" i="7" s="1"/>
  <c r="B605" i="7"/>
  <c r="C605" i="7" s="1"/>
  <c r="B604" i="7"/>
  <c r="C604" i="7" s="1"/>
  <c r="B603" i="7"/>
  <c r="C603" i="7" s="1"/>
  <c r="B602" i="7"/>
  <c r="C602" i="7" s="1"/>
  <c r="B601" i="7"/>
  <c r="C601" i="7" s="1"/>
  <c r="B600" i="7"/>
  <c r="C600" i="7" s="1"/>
  <c r="B599" i="7"/>
  <c r="C599" i="7" s="1"/>
  <c r="B598" i="7"/>
  <c r="C598" i="7" s="1"/>
  <c r="B597" i="7"/>
  <c r="C597" i="7" s="1"/>
  <c r="B596" i="7"/>
  <c r="C596" i="7" s="1"/>
  <c r="B595" i="7"/>
  <c r="C595" i="7" s="1"/>
  <c r="B594" i="7"/>
  <c r="C594" i="7" s="1"/>
  <c r="B593" i="7"/>
  <c r="C593" i="7" s="1"/>
  <c r="B592" i="7"/>
  <c r="C592" i="7" s="1"/>
  <c r="B591" i="7"/>
  <c r="C591" i="7" s="1"/>
  <c r="B590" i="7"/>
  <c r="C590" i="7" s="1"/>
  <c r="B589" i="7"/>
  <c r="C589" i="7" s="1"/>
  <c r="B588" i="7"/>
  <c r="C588" i="7" s="1"/>
  <c r="B587" i="7"/>
  <c r="C587" i="7" s="1"/>
  <c r="B586" i="7"/>
  <c r="C586" i="7" s="1"/>
  <c r="B585" i="7"/>
  <c r="C585" i="7" s="1"/>
  <c r="B584" i="7"/>
  <c r="C584" i="7" s="1"/>
  <c r="B583" i="7"/>
  <c r="C583" i="7" s="1"/>
  <c r="B582" i="7"/>
  <c r="C582" i="7" s="1"/>
  <c r="B581" i="7"/>
  <c r="C581" i="7" s="1"/>
  <c r="B580" i="7"/>
  <c r="C580" i="7" s="1"/>
  <c r="B579" i="7"/>
  <c r="C579" i="7" s="1"/>
  <c r="B578" i="7"/>
  <c r="C578" i="7" s="1"/>
  <c r="B577" i="7"/>
  <c r="C577" i="7" s="1"/>
  <c r="B576" i="7"/>
  <c r="C576" i="7" s="1"/>
  <c r="B575" i="7"/>
  <c r="C575" i="7" s="1"/>
  <c r="B574" i="7"/>
  <c r="C574" i="7" s="1"/>
  <c r="B573" i="7"/>
  <c r="C573" i="7" s="1"/>
  <c r="B572" i="7"/>
  <c r="C572" i="7" s="1"/>
  <c r="B571" i="7"/>
  <c r="C571" i="7" s="1"/>
  <c r="B570" i="7"/>
  <c r="C570" i="7" s="1"/>
  <c r="B569" i="7"/>
  <c r="C569" i="7" s="1"/>
  <c r="B568" i="7"/>
  <c r="C568" i="7" s="1"/>
  <c r="B567" i="7"/>
  <c r="C567" i="7" s="1"/>
  <c r="B566" i="7"/>
  <c r="C566" i="7" s="1"/>
  <c r="B565" i="7"/>
  <c r="C565" i="7" s="1"/>
  <c r="B564" i="7"/>
  <c r="C564" i="7" s="1"/>
  <c r="B563" i="7"/>
  <c r="C563" i="7" s="1"/>
  <c r="B562" i="7"/>
  <c r="C562" i="7" s="1"/>
  <c r="B561" i="7"/>
  <c r="C561" i="7" s="1"/>
  <c r="B560" i="7"/>
  <c r="C560" i="7" s="1"/>
  <c r="B559" i="7"/>
  <c r="C559" i="7" s="1"/>
  <c r="B558" i="7"/>
  <c r="C558" i="7" s="1"/>
  <c r="B557" i="7"/>
  <c r="C557" i="7" s="1"/>
  <c r="B556" i="7"/>
  <c r="C556" i="7" s="1"/>
  <c r="B555" i="7"/>
  <c r="C555" i="7" s="1"/>
  <c r="B554" i="7"/>
  <c r="C554" i="7" s="1"/>
  <c r="B553" i="7"/>
  <c r="C553" i="7" s="1"/>
  <c r="B552" i="7"/>
  <c r="C552" i="7" s="1"/>
  <c r="B551" i="7"/>
  <c r="C551" i="7" s="1"/>
  <c r="B550" i="7"/>
  <c r="C550" i="7" s="1"/>
  <c r="B549" i="7"/>
  <c r="C549" i="7" s="1"/>
  <c r="B548" i="7"/>
  <c r="C548" i="7" s="1"/>
  <c r="B547" i="7"/>
  <c r="C547" i="7" s="1"/>
  <c r="B546" i="7"/>
  <c r="C546" i="7" s="1"/>
  <c r="B545" i="7"/>
  <c r="C545" i="7" s="1"/>
  <c r="B544" i="7"/>
  <c r="C544" i="7" s="1"/>
  <c r="B543" i="7"/>
  <c r="C543" i="7" s="1"/>
  <c r="B542" i="7"/>
  <c r="C542" i="7" s="1"/>
  <c r="B541" i="7"/>
  <c r="C541" i="7" s="1"/>
  <c r="B540" i="7"/>
  <c r="C540" i="7" s="1"/>
  <c r="B539" i="7"/>
  <c r="C539" i="7" s="1"/>
  <c r="B538" i="7"/>
  <c r="C538" i="7" s="1"/>
  <c r="B537" i="7"/>
  <c r="C537" i="7" s="1"/>
  <c r="B536" i="7"/>
  <c r="C536" i="7" s="1"/>
  <c r="B535" i="7"/>
  <c r="C535" i="7" s="1"/>
  <c r="B534" i="7"/>
  <c r="C534" i="7" s="1"/>
  <c r="B533" i="7"/>
  <c r="C533" i="7" s="1"/>
  <c r="B532" i="7"/>
  <c r="C532" i="7" s="1"/>
  <c r="B531" i="7"/>
  <c r="C531" i="7" s="1"/>
  <c r="B530" i="7"/>
  <c r="C530" i="7" s="1"/>
  <c r="B529" i="7"/>
  <c r="C529" i="7" s="1"/>
  <c r="B528" i="7"/>
  <c r="C528" i="7" s="1"/>
  <c r="B527" i="7"/>
  <c r="C527" i="7" s="1"/>
  <c r="B526" i="7"/>
  <c r="C526" i="7" s="1"/>
  <c r="B525" i="7"/>
  <c r="C525" i="7" s="1"/>
  <c r="B524" i="7"/>
  <c r="C524" i="7" s="1"/>
  <c r="B523" i="7"/>
  <c r="C523" i="7" s="1"/>
  <c r="B522" i="7"/>
  <c r="C522" i="7" s="1"/>
  <c r="B521" i="7"/>
  <c r="C521" i="7" s="1"/>
  <c r="B520" i="7"/>
  <c r="C520" i="7" s="1"/>
  <c r="B519" i="7"/>
  <c r="C519" i="7" s="1"/>
  <c r="B518" i="7"/>
  <c r="C518" i="7" s="1"/>
  <c r="B517" i="7"/>
  <c r="C517" i="7" s="1"/>
  <c r="B516" i="7"/>
  <c r="C516" i="7" s="1"/>
  <c r="B515" i="7"/>
  <c r="C515" i="7" s="1"/>
  <c r="B514" i="7"/>
  <c r="C514" i="7" s="1"/>
  <c r="B513" i="7"/>
  <c r="C513" i="7" s="1"/>
  <c r="B512" i="7"/>
  <c r="C512" i="7" s="1"/>
  <c r="B511" i="7"/>
  <c r="C511" i="7" s="1"/>
  <c r="B510" i="7"/>
  <c r="C510" i="7" s="1"/>
  <c r="B509" i="7"/>
  <c r="C509" i="7" s="1"/>
  <c r="B508" i="7"/>
  <c r="C508" i="7" s="1"/>
  <c r="B507" i="7"/>
  <c r="C507" i="7" s="1"/>
  <c r="B506" i="7"/>
  <c r="C506" i="7" s="1"/>
  <c r="B505" i="7"/>
  <c r="C505" i="7" s="1"/>
  <c r="B504" i="7"/>
  <c r="C504" i="7" s="1"/>
  <c r="B503" i="7"/>
  <c r="C503" i="7" s="1"/>
  <c r="B502" i="7"/>
  <c r="C502" i="7" s="1"/>
  <c r="B501" i="7"/>
  <c r="C501" i="7" s="1"/>
  <c r="B500" i="7"/>
  <c r="C500" i="7" s="1"/>
  <c r="B499" i="7"/>
  <c r="C499" i="7" s="1"/>
  <c r="B498" i="7"/>
  <c r="C498" i="7" s="1"/>
  <c r="B497" i="7"/>
  <c r="C497" i="7" s="1"/>
  <c r="B496" i="7"/>
  <c r="C496" i="7" s="1"/>
  <c r="B495" i="7"/>
  <c r="C495" i="7" s="1"/>
  <c r="B494" i="7"/>
  <c r="C494" i="7" s="1"/>
  <c r="B493" i="7"/>
  <c r="C493" i="7" s="1"/>
  <c r="B492" i="7"/>
  <c r="C492" i="7" s="1"/>
  <c r="B491" i="7"/>
  <c r="C491" i="7" s="1"/>
  <c r="B490" i="7"/>
  <c r="C490" i="7" s="1"/>
  <c r="B489" i="7"/>
  <c r="C489" i="7" s="1"/>
  <c r="B488" i="7"/>
  <c r="C488" i="7" s="1"/>
  <c r="B487" i="7"/>
  <c r="C487" i="7" s="1"/>
  <c r="B486" i="7"/>
  <c r="C486" i="7" s="1"/>
  <c r="B485" i="7"/>
  <c r="C485" i="7" s="1"/>
  <c r="B484" i="7"/>
  <c r="C484" i="7" s="1"/>
  <c r="B483" i="7"/>
  <c r="C483" i="7" s="1"/>
  <c r="B482" i="7"/>
  <c r="C482" i="7" s="1"/>
  <c r="B481" i="7"/>
  <c r="C481" i="7" s="1"/>
  <c r="B480" i="7"/>
  <c r="C480" i="7" s="1"/>
  <c r="B479" i="7"/>
  <c r="C479" i="7" s="1"/>
  <c r="B478" i="7"/>
  <c r="C478" i="7" s="1"/>
  <c r="B477" i="7"/>
  <c r="C477" i="7" s="1"/>
  <c r="B476" i="7"/>
  <c r="C476" i="7" s="1"/>
  <c r="B475" i="7"/>
  <c r="C475" i="7" s="1"/>
  <c r="B474" i="7"/>
  <c r="C474" i="7" s="1"/>
  <c r="B473" i="7"/>
  <c r="C473" i="7" s="1"/>
  <c r="B472" i="7"/>
  <c r="C472" i="7" s="1"/>
  <c r="B471" i="7"/>
  <c r="C471" i="7" s="1"/>
  <c r="B470" i="7"/>
  <c r="C470" i="7" s="1"/>
  <c r="B469" i="7"/>
  <c r="C469" i="7" s="1"/>
  <c r="B468" i="7"/>
  <c r="C468" i="7" s="1"/>
  <c r="B467" i="7"/>
  <c r="C467" i="7" s="1"/>
  <c r="B466" i="7"/>
  <c r="C466" i="7" s="1"/>
  <c r="B465" i="7"/>
  <c r="C465" i="7" s="1"/>
  <c r="B464" i="7"/>
  <c r="C464" i="7" s="1"/>
  <c r="B463" i="7"/>
  <c r="C463" i="7" s="1"/>
  <c r="B462" i="7"/>
  <c r="C462" i="7" s="1"/>
  <c r="B461" i="7"/>
  <c r="C461" i="7" s="1"/>
  <c r="B460" i="7"/>
  <c r="C460" i="7" s="1"/>
  <c r="B459" i="7"/>
  <c r="C459" i="7" s="1"/>
  <c r="B458" i="7"/>
  <c r="C458" i="7" s="1"/>
  <c r="B457" i="7"/>
  <c r="C457" i="7" s="1"/>
  <c r="B456" i="7"/>
  <c r="C456" i="7" s="1"/>
  <c r="B455" i="7"/>
  <c r="C455" i="7" s="1"/>
  <c r="B454" i="7"/>
  <c r="C454" i="7" s="1"/>
  <c r="B453" i="7"/>
  <c r="C453" i="7" s="1"/>
  <c r="B452" i="7"/>
  <c r="C452" i="7" s="1"/>
  <c r="B451" i="7"/>
  <c r="C451" i="7" s="1"/>
  <c r="B450" i="7"/>
  <c r="C450" i="7" s="1"/>
  <c r="B449" i="7"/>
  <c r="C449" i="7" s="1"/>
  <c r="B448" i="7"/>
  <c r="C448" i="7" s="1"/>
  <c r="B447" i="7"/>
  <c r="C447" i="7" s="1"/>
  <c r="B446" i="7"/>
  <c r="C446" i="7" s="1"/>
  <c r="B445" i="7"/>
  <c r="C445" i="7" s="1"/>
  <c r="B444" i="7"/>
  <c r="C444" i="7" s="1"/>
  <c r="B443" i="7"/>
  <c r="C443" i="7" s="1"/>
  <c r="B442" i="7"/>
  <c r="C442" i="7" s="1"/>
  <c r="B441" i="7"/>
  <c r="C441" i="7" s="1"/>
  <c r="B440" i="7"/>
  <c r="C440" i="7" s="1"/>
  <c r="B439" i="7"/>
  <c r="C439" i="7" s="1"/>
  <c r="B438" i="7"/>
  <c r="C438" i="7" s="1"/>
  <c r="B437" i="7"/>
  <c r="C437" i="7" s="1"/>
  <c r="B436" i="7"/>
  <c r="C436" i="7" s="1"/>
  <c r="B435" i="7"/>
  <c r="C435" i="7" s="1"/>
  <c r="B434" i="7"/>
  <c r="C434" i="7" s="1"/>
  <c r="B433" i="7"/>
  <c r="C433" i="7" s="1"/>
  <c r="B432" i="7"/>
  <c r="C432" i="7" s="1"/>
  <c r="B431" i="7"/>
  <c r="C431" i="7" s="1"/>
  <c r="B430" i="7"/>
  <c r="C430" i="7" s="1"/>
  <c r="B429" i="7"/>
  <c r="C429" i="7" s="1"/>
  <c r="B428" i="7"/>
  <c r="C428" i="7" s="1"/>
  <c r="B427" i="7"/>
  <c r="C427" i="7" s="1"/>
  <c r="B426" i="7"/>
  <c r="C426" i="7" s="1"/>
  <c r="B425" i="7"/>
  <c r="C425" i="7" s="1"/>
  <c r="B424" i="7"/>
  <c r="C424" i="7" s="1"/>
  <c r="B423" i="7"/>
  <c r="C423" i="7" s="1"/>
  <c r="B422" i="7"/>
  <c r="C422" i="7" s="1"/>
  <c r="B421" i="7"/>
  <c r="C421" i="7" s="1"/>
  <c r="B420" i="7"/>
  <c r="C420" i="7" s="1"/>
  <c r="B419" i="7"/>
  <c r="C419" i="7" s="1"/>
  <c r="B418" i="7"/>
  <c r="C418" i="7" s="1"/>
  <c r="B417" i="7"/>
  <c r="C417" i="7" s="1"/>
  <c r="B416" i="7"/>
  <c r="C416" i="7" s="1"/>
  <c r="B415" i="7"/>
  <c r="C415" i="7" s="1"/>
  <c r="B414" i="7"/>
  <c r="C414" i="7" s="1"/>
  <c r="B413" i="7"/>
  <c r="C413" i="7" s="1"/>
  <c r="B412" i="7"/>
  <c r="C412" i="7" s="1"/>
  <c r="B411" i="7"/>
  <c r="C411" i="7" s="1"/>
  <c r="B410" i="7"/>
  <c r="C410" i="7" s="1"/>
  <c r="B409" i="7"/>
  <c r="C409" i="7" s="1"/>
  <c r="B408" i="7"/>
  <c r="C408" i="7" s="1"/>
  <c r="B407" i="7"/>
  <c r="C407" i="7" s="1"/>
  <c r="B406" i="7"/>
  <c r="C406" i="7" s="1"/>
  <c r="B405" i="7"/>
  <c r="C405" i="7" s="1"/>
  <c r="B404" i="7"/>
  <c r="C404" i="7" s="1"/>
  <c r="B403" i="7"/>
  <c r="C403" i="7" s="1"/>
  <c r="B402" i="7"/>
  <c r="C402" i="7" s="1"/>
  <c r="B401" i="7"/>
  <c r="C401" i="7" s="1"/>
  <c r="B400" i="7"/>
  <c r="C400" i="7" s="1"/>
  <c r="B399" i="7"/>
  <c r="C399" i="7" s="1"/>
  <c r="B398" i="7"/>
  <c r="C398" i="7" s="1"/>
  <c r="B397" i="7"/>
  <c r="C397" i="7" s="1"/>
  <c r="B396" i="7"/>
  <c r="C396" i="7" s="1"/>
  <c r="B395" i="7"/>
  <c r="C395" i="7" s="1"/>
  <c r="B394" i="7"/>
  <c r="C394" i="7" s="1"/>
  <c r="B393" i="7"/>
  <c r="C393" i="7" s="1"/>
  <c r="B392" i="7"/>
  <c r="C392" i="7" s="1"/>
  <c r="B391" i="7"/>
  <c r="C391" i="7" s="1"/>
  <c r="B390" i="7"/>
  <c r="C390" i="7" s="1"/>
  <c r="B389" i="7"/>
  <c r="C389" i="7" s="1"/>
  <c r="B388" i="7"/>
  <c r="C388" i="7" s="1"/>
  <c r="B387" i="7"/>
  <c r="C387" i="7" s="1"/>
  <c r="B386" i="7"/>
  <c r="C386" i="7" s="1"/>
  <c r="B385" i="7"/>
  <c r="C385" i="7" s="1"/>
  <c r="B384" i="7"/>
  <c r="C384" i="7" s="1"/>
  <c r="B383" i="7"/>
  <c r="C383" i="7" s="1"/>
  <c r="B382" i="7"/>
  <c r="C382" i="7" s="1"/>
  <c r="B381" i="7"/>
  <c r="C381" i="7" s="1"/>
  <c r="B380" i="7"/>
  <c r="C380" i="7" s="1"/>
  <c r="B379" i="7"/>
  <c r="C379" i="7" s="1"/>
  <c r="B378" i="7"/>
  <c r="C378" i="7" s="1"/>
  <c r="B377" i="7"/>
  <c r="C377" i="7" s="1"/>
  <c r="B376" i="7"/>
  <c r="C376" i="7" s="1"/>
  <c r="B375" i="7"/>
  <c r="C375" i="7" s="1"/>
  <c r="B374" i="7"/>
  <c r="C374" i="7" s="1"/>
  <c r="B373" i="7"/>
  <c r="C373" i="7" s="1"/>
  <c r="B372" i="7"/>
  <c r="C372" i="7" s="1"/>
  <c r="B371" i="7"/>
  <c r="C371" i="7" s="1"/>
  <c r="B370" i="7"/>
  <c r="C370" i="7" s="1"/>
  <c r="B369" i="7"/>
  <c r="C369" i="7" s="1"/>
  <c r="B368" i="7"/>
  <c r="C368" i="7" s="1"/>
  <c r="B367" i="7"/>
  <c r="C367" i="7" s="1"/>
  <c r="B366" i="7"/>
  <c r="C366" i="7" s="1"/>
  <c r="B365" i="7"/>
  <c r="C365" i="7" s="1"/>
  <c r="B364" i="7"/>
  <c r="C364" i="7" s="1"/>
  <c r="B363" i="7"/>
  <c r="C363" i="7" s="1"/>
  <c r="B362" i="7"/>
  <c r="C362" i="7" s="1"/>
  <c r="B361" i="7"/>
  <c r="C361" i="7" s="1"/>
  <c r="B360" i="7"/>
  <c r="C360" i="7" s="1"/>
  <c r="B359" i="7"/>
  <c r="C359" i="7" s="1"/>
  <c r="B358" i="7"/>
  <c r="C358" i="7" s="1"/>
  <c r="B357" i="7"/>
  <c r="C357" i="7" s="1"/>
  <c r="B356" i="7"/>
  <c r="C356" i="7" s="1"/>
  <c r="B355" i="7"/>
  <c r="C355" i="7" s="1"/>
  <c r="B354" i="7"/>
  <c r="C354" i="7" s="1"/>
  <c r="B353" i="7"/>
  <c r="C353" i="7" s="1"/>
  <c r="B352" i="7"/>
  <c r="C352" i="7" s="1"/>
  <c r="B351" i="7"/>
  <c r="C351" i="7" s="1"/>
  <c r="B350" i="7"/>
  <c r="C350" i="7" s="1"/>
  <c r="B349" i="7"/>
  <c r="C349" i="7" s="1"/>
  <c r="B348" i="7"/>
  <c r="C348" i="7" s="1"/>
  <c r="B347" i="7"/>
  <c r="C347" i="7" s="1"/>
  <c r="B346" i="7"/>
  <c r="C346" i="7" s="1"/>
  <c r="B345" i="7"/>
  <c r="C345" i="7" s="1"/>
  <c r="B344" i="7"/>
  <c r="C344" i="7" s="1"/>
  <c r="B343" i="7"/>
  <c r="C343" i="7" s="1"/>
  <c r="B342" i="7"/>
  <c r="C342" i="7" s="1"/>
  <c r="B341" i="7"/>
  <c r="C341" i="7" s="1"/>
  <c r="B340" i="7"/>
  <c r="C340" i="7" s="1"/>
  <c r="B339" i="7"/>
  <c r="C339" i="7" s="1"/>
  <c r="B338" i="7"/>
  <c r="C338" i="7" s="1"/>
  <c r="B337" i="7"/>
  <c r="C337" i="7" s="1"/>
  <c r="B336" i="7"/>
  <c r="C336" i="7" s="1"/>
  <c r="B335" i="7"/>
  <c r="C335" i="7" s="1"/>
  <c r="B334" i="7"/>
  <c r="C334" i="7" s="1"/>
  <c r="B333" i="7"/>
  <c r="C333" i="7" s="1"/>
  <c r="B332" i="7"/>
  <c r="C332" i="7" s="1"/>
  <c r="B331" i="7"/>
  <c r="C331" i="7" s="1"/>
  <c r="B330" i="7"/>
  <c r="C330" i="7" s="1"/>
  <c r="B329" i="7"/>
  <c r="C329" i="7" s="1"/>
  <c r="B328" i="7"/>
  <c r="C328" i="7" s="1"/>
  <c r="B327" i="7"/>
  <c r="C327" i="7" s="1"/>
  <c r="B326" i="7"/>
  <c r="C326" i="7" s="1"/>
  <c r="B325" i="7"/>
  <c r="C325" i="7" s="1"/>
  <c r="B324" i="7"/>
  <c r="C324" i="7" s="1"/>
  <c r="B323" i="7"/>
  <c r="C323" i="7" s="1"/>
  <c r="B322" i="7"/>
  <c r="C322" i="7" s="1"/>
  <c r="B321" i="7"/>
  <c r="C321" i="7" s="1"/>
  <c r="B320" i="7"/>
  <c r="C320" i="7" s="1"/>
  <c r="B319" i="7"/>
  <c r="C319" i="7" s="1"/>
  <c r="B318" i="7"/>
  <c r="C318" i="7" s="1"/>
  <c r="B317" i="7"/>
  <c r="C317" i="7" s="1"/>
  <c r="B316" i="7"/>
  <c r="C316" i="7" s="1"/>
  <c r="B315" i="7"/>
  <c r="C315" i="7" s="1"/>
  <c r="B314" i="7"/>
  <c r="C314" i="7" s="1"/>
  <c r="B313" i="7"/>
  <c r="C313" i="7" s="1"/>
  <c r="B312" i="7"/>
  <c r="C312" i="7" s="1"/>
  <c r="B311" i="7"/>
  <c r="C311" i="7" s="1"/>
  <c r="B310" i="7"/>
  <c r="C310" i="7" s="1"/>
  <c r="B309" i="7"/>
  <c r="C309" i="7" s="1"/>
  <c r="B308" i="7"/>
  <c r="C308" i="7" s="1"/>
  <c r="B307" i="7"/>
  <c r="C307" i="7" s="1"/>
  <c r="B306" i="7"/>
  <c r="C306" i="7" s="1"/>
  <c r="B305" i="7"/>
  <c r="C305" i="7" s="1"/>
  <c r="B304" i="7"/>
  <c r="C304" i="7" s="1"/>
  <c r="B303" i="7"/>
  <c r="C303" i="7" s="1"/>
  <c r="B302" i="7"/>
  <c r="C302" i="7" s="1"/>
  <c r="B301" i="7"/>
  <c r="C301" i="7" s="1"/>
  <c r="B300" i="7"/>
  <c r="C300" i="7" s="1"/>
  <c r="B299" i="7"/>
  <c r="C299" i="7" s="1"/>
  <c r="B298" i="7"/>
  <c r="C298" i="7" s="1"/>
  <c r="B297" i="7"/>
  <c r="C297" i="7" s="1"/>
  <c r="B296" i="7"/>
  <c r="C296" i="7" s="1"/>
  <c r="B295" i="7"/>
  <c r="C295" i="7" s="1"/>
  <c r="B294" i="7"/>
  <c r="C294" i="7" s="1"/>
  <c r="B293" i="7"/>
  <c r="C293" i="7" s="1"/>
  <c r="B292" i="7"/>
  <c r="C292" i="7" s="1"/>
  <c r="B291" i="7"/>
  <c r="C291" i="7" s="1"/>
  <c r="B290" i="7"/>
  <c r="C290" i="7" s="1"/>
  <c r="B289" i="7"/>
  <c r="C289" i="7" s="1"/>
  <c r="B288" i="7"/>
  <c r="C288" i="7" s="1"/>
  <c r="B287" i="7"/>
  <c r="C287" i="7" s="1"/>
  <c r="B286" i="7"/>
  <c r="C286" i="7" s="1"/>
  <c r="B285" i="7"/>
  <c r="C285" i="7" s="1"/>
  <c r="B284" i="7"/>
  <c r="C284" i="7" s="1"/>
  <c r="B283" i="7"/>
  <c r="C283" i="7" s="1"/>
  <c r="B282" i="7"/>
  <c r="C282" i="7" s="1"/>
  <c r="B281" i="7"/>
  <c r="C281" i="7" s="1"/>
  <c r="B280" i="7"/>
  <c r="C280" i="7" s="1"/>
  <c r="B279" i="7"/>
  <c r="C279" i="7" s="1"/>
  <c r="B278" i="7"/>
  <c r="C278" i="7" s="1"/>
  <c r="B277" i="7"/>
  <c r="C277" i="7" s="1"/>
  <c r="B276" i="7"/>
  <c r="C276" i="7" s="1"/>
  <c r="B275" i="7"/>
  <c r="C275" i="7" s="1"/>
  <c r="B274" i="7"/>
  <c r="C274" i="7" s="1"/>
  <c r="B273" i="7"/>
  <c r="C273" i="7" s="1"/>
  <c r="B272" i="7"/>
  <c r="C272" i="7" s="1"/>
  <c r="B271" i="7"/>
  <c r="C271" i="7" s="1"/>
  <c r="B270" i="7"/>
  <c r="C270" i="7" s="1"/>
  <c r="B269" i="7"/>
  <c r="C269" i="7" s="1"/>
  <c r="B268" i="7"/>
  <c r="C268" i="7" s="1"/>
  <c r="B267" i="7"/>
  <c r="C267" i="7" s="1"/>
  <c r="B266" i="7"/>
  <c r="C266" i="7" s="1"/>
  <c r="B265" i="7"/>
  <c r="C265" i="7" s="1"/>
  <c r="B264" i="7"/>
  <c r="C264" i="7" s="1"/>
  <c r="B263" i="7"/>
  <c r="C263" i="7" s="1"/>
  <c r="B262" i="7"/>
  <c r="C262" i="7" s="1"/>
  <c r="B261" i="7"/>
  <c r="C261" i="7" s="1"/>
  <c r="B260" i="7"/>
  <c r="C260" i="7" s="1"/>
  <c r="B259" i="7"/>
  <c r="C259" i="7" s="1"/>
  <c r="B258" i="7"/>
  <c r="C258" i="7" s="1"/>
  <c r="B257" i="7"/>
  <c r="C257" i="7" s="1"/>
  <c r="B256" i="7"/>
  <c r="C256" i="7" s="1"/>
  <c r="B255" i="7"/>
  <c r="C255" i="7" s="1"/>
  <c r="B254" i="7"/>
  <c r="C254" i="7" s="1"/>
  <c r="B253" i="7"/>
  <c r="C253" i="7" s="1"/>
  <c r="B252" i="7"/>
  <c r="C252" i="7" s="1"/>
  <c r="B251" i="7"/>
  <c r="C251" i="7" s="1"/>
  <c r="B250" i="7"/>
  <c r="C250" i="7" s="1"/>
  <c r="B249" i="7"/>
  <c r="C249" i="7" s="1"/>
  <c r="B248" i="7"/>
  <c r="C248" i="7" s="1"/>
  <c r="B247" i="7"/>
  <c r="C247" i="7" s="1"/>
  <c r="B246" i="7"/>
  <c r="C246" i="7" s="1"/>
  <c r="B245" i="7"/>
  <c r="C245" i="7" s="1"/>
  <c r="B244" i="7"/>
  <c r="C244" i="7" s="1"/>
  <c r="B243" i="7"/>
  <c r="C243" i="7" s="1"/>
  <c r="B242" i="7"/>
  <c r="C242" i="7" s="1"/>
  <c r="B241" i="7"/>
  <c r="C241" i="7" s="1"/>
  <c r="B240" i="7"/>
  <c r="C240" i="7" s="1"/>
  <c r="B239" i="7"/>
  <c r="C239" i="7" s="1"/>
  <c r="B238" i="7"/>
  <c r="C238" i="7" s="1"/>
  <c r="B237" i="7"/>
  <c r="C237" i="7" s="1"/>
  <c r="B236" i="7"/>
  <c r="C236" i="7" s="1"/>
  <c r="B235" i="7"/>
  <c r="C235" i="7" s="1"/>
  <c r="B234" i="7"/>
  <c r="C234" i="7" s="1"/>
  <c r="B233" i="7"/>
  <c r="C233" i="7" s="1"/>
  <c r="B232" i="7"/>
  <c r="C232" i="7" s="1"/>
  <c r="B231" i="7"/>
  <c r="C231" i="7" s="1"/>
  <c r="B230" i="7"/>
  <c r="C230" i="7" s="1"/>
  <c r="B229" i="7"/>
  <c r="C229" i="7" s="1"/>
  <c r="B228" i="7"/>
  <c r="C228" i="7" s="1"/>
  <c r="B227" i="7"/>
  <c r="C227" i="7" s="1"/>
  <c r="B226" i="7"/>
  <c r="C226" i="7" s="1"/>
  <c r="B225" i="7"/>
  <c r="C225" i="7" s="1"/>
  <c r="B224" i="7"/>
  <c r="C224" i="7" s="1"/>
  <c r="B223" i="7"/>
  <c r="C223" i="7" s="1"/>
  <c r="B222" i="7"/>
  <c r="C222" i="7" s="1"/>
  <c r="B221" i="7"/>
  <c r="C221" i="7" s="1"/>
  <c r="B220" i="7"/>
  <c r="C220" i="7" s="1"/>
  <c r="B219" i="7"/>
  <c r="C219" i="7" s="1"/>
  <c r="B218" i="7"/>
  <c r="C218" i="7" s="1"/>
  <c r="B217" i="7"/>
  <c r="C217" i="7" s="1"/>
  <c r="B216" i="7"/>
  <c r="C216" i="7" s="1"/>
  <c r="B215" i="7"/>
  <c r="C215" i="7" s="1"/>
  <c r="B214" i="7"/>
  <c r="C214" i="7" s="1"/>
  <c r="B213" i="7"/>
  <c r="C213" i="7" s="1"/>
  <c r="B212" i="7"/>
  <c r="C212" i="7" s="1"/>
  <c r="B211" i="7"/>
  <c r="C211" i="7" s="1"/>
  <c r="B210" i="7"/>
  <c r="C210" i="7" s="1"/>
  <c r="B209" i="7"/>
  <c r="C209" i="7" s="1"/>
  <c r="B208" i="7"/>
  <c r="C208" i="7" s="1"/>
  <c r="B207" i="7"/>
  <c r="C207" i="7" s="1"/>
  <c r="B206" i="7"/>
  <c r="C206" i="7" s="1"/>
  <c r="B205" i="7"/>
  <c r="C205" i="7" s="1"/>
  <c r="B204" i="7"/>
  <c r="C204" i="7" s="1"/>
  <c r="B203" i="7"/>
  <c r="C203" i="7" s="1"/>
  <c r="B202" i="7"/>
  <c r="C202" i="7" s="1"/>
  <c r="B201" i="7"/>
  <c r="C201" i="7" s="1"/>
  <c r="B200" i="7"/>
  <c r="C200" i="7" s="1"/>
  <c r="B199" i="7"/>
  <c r="C199" i="7" s="1"/>
  <c r="B198" i="7"/>
  <c r="C198" i="7" s="1"/>
  <c r="B197" i="7"/>
  <c r="C197" i="7" s="1"/>
  <c r="B196" i="7"/>
  <c r="C196" i="7" s="1"/>
  <c r="B195" i="7"/>
  <c r="C195" i="7" s="1"/>
  <c r="B194" i="7"/>
  <c r="C194" i="7" s="1"/>
  <c r="B193" i="7"/>
  <c r="C193" i="7" s="1"/>
  <c r="B192" i="7"/>
  <c r="C192" i="7" s="1"/>
  <c r="B191" i="7"/>
  <c r="C191" i="7" s="1"/>
  <c r="B190" i="7"/>
  <c r="C190" i="7" s="1"/>
  <c r="B189" i="7"/>
  <c r="C189" i="7" s="1"/>
  <c r="B188" i="7"/>
  <c r="C188" i="7" s="1"/>
  <c r="B187" i="7"/>
  <c r="C187" i="7" s="1"/>
  <c r="B186" i="7"/>
  <c r="C186" i="7" s="1"/>
  <c r="B185" i="7"/>
  <c r="C185" i="7" s="1"/>
  <c r="B184" i="7"/>
  <c r="C184" i="7" s="1"/>
  <c r="B183" i="7"/>
  <c r="C183" i="7" s="1"/>
  <c r="B182" i="7"/>
  <c r="C182" i="7" s="1"/>
  <c r="B181" i="7"/>
  <c r="C181" i="7" s="1"/>
  <c r="B180" i="7"/>
  <c r="C180" i="7" s="1"/>
  <c r="B179" i="7"/>
  <c r="C179" i="7" s="1"/>
  <c r="B178" i="7"/>
  <c r="C178" i="7" s="1"/>
  <c r="B177" i="7"/>
  <c r="C177" i="7" s="1"/>
  <c r="B176" i="7"/>
  <c r="C176" i="7" s="1"/>
  <c r="B175" i="7"/>
  <c r="C175" i="7" s="1"/>
  <c r="B174" i="7"/>
  <c r="C174" i="7" s="1"/>
  <c r="B173" i="7"/>
  <c r="C173" i="7" s="1"/>
  <c r="B172" i="7"/>
  <c r="C172" i="7" s="1"/>
  <c r="B171" i="7"/>
  <c r="C171" i="7" s="1"/>
  <c r="B170" i="7"/>
  <c r="C170" i="7" s="1"/>
  <c r="B169" i="7"/>
  <c r="C169" i="7" s="1"/>
  <c r="B168" i="7"/>
  <c r="C168" i="7" s="1"/>
  <c r="B167" i="7"/>
  <c r="C167" i="7" s="1"/>
  <c r="B166" i="7"/>
  <c r="C166" i="7" s="1"/>
  <c r="B165" i="7"/>
  <c r="C165" i="7" s="1"/>
  <c r="B164" i="7"/>
  <c r="C164" i="7" s="1"/>
  <c r="B163" i="7"/>
  <c r="C163" i="7" s="1"/>
  <c r="B162" i="7"/>
  <c r="C162" i="7" s="1"/>
  <c r="B161" i="7"/>
  <c r="C161" i="7" s="1"/>
  <c r="B160" i="7"/>
  <c r="C160" i="7" s="1"/>
  <c r="B159" i="7"/>
  <c r="C159" i="7" s="1"/>
  <c r="B158" i="7"/>
  <c r="C158" i="7" s="1"/>
  <c r="B157" i="7"/>
  <c r="C157" i="7" s="1"/>
  <c r="B156" i="7"/>
  <c r="C156" i="7" s="1"/>
  <c r="B155" i="7"/>
  <c r="C155" i="7" s="1"/>
  <c r="B154" i="7"/>
  <c r="C154" i="7" s="1"/>
  <c r="B153" i="7"/>
  <c r="C153" i="7" s="1"/>
  <c r="B152" i="7"/>
  <c r="C152" i="7" s="1"/>
  <c r="B151" i="7"/>
  <c r="C151" i="7" s="1"/>
  <c r="B150" i="7"/>
  <c r="C150" i="7" s="1"/>
  <c r="B149" i="7"/>
  <c r="C149" i="7" s="1"/>
  <c r="B148" i="7"/>
  <c r="C148" i="7" s="1"/>
  <c r="B147" i="7"/>
  <c r="C147" i="7" s="1"/>
  <c r="B146" i="7"/>
  <c r="C146" i="7" s="1"/>
  <c r="B145" i="7"/>
  <c r="C145" i="7" s="1"/>
  <c r="B144" i="7"/>
  <c r="C144" i="7" s="1"/>
  <c r="B143" i="7"/>
  <c r="C143" i="7" s="1"/>
  <c r="B142" i="7"/>
  <c r="C142" i="7" s="1"/>
  <c r="B141" i="7"/>
  <c r="C141" i="7" s="1"/>
  <c r="B140" i="7"/>
  <c r="C140" i="7" s="1"/>
  <c r="B139" i="7"/>
  <c r="C139" i="7" s="1"/>
  <c r="B138" i="7"/>
  <c r="C138" i="7" s="1"/>
  <c r="B137" i="7"/>
  <c r="C137" i="7" s="1"/>
  <c r="B136" i="7"/>
  <c r="C136" i="7" s="1"/>
  <c r="B135" i="7"/>
  <c r="C135" i="7" s="1"/>
  <c r="B134" i="7"/>
  <c r="C134" i="7" s="1"/>
  <c r="B133" i="7"/>
  <c r="C133" i="7" s="1"/>
  <c r="B132" i="7"/>
  <c r="C132" i="7" s="1"/>
  <c r="B131" i="7"/>
  <c r="C131" i="7" s="1"/>
  <c r="B130" i="7"/>
  <c r="C130" i="7" s="1"/>
  <c r="B129" i="7"/>
  <c r="C129" i="7" s="1"/>
  <c r="B128" i="7"/>
  <c r="C128" i="7" s="1"/>
  <c r="B127" i="7"/>
  <c r="C127" i="7" s="1"/>
  <c r="B126" i="7"/>
  <c r="C126" i="7" s="1"/>
  <c r="B125" i="7"/>
  <c r="C125" i="7" s="1"/>
  <c r="B124" i="7"/>
  <c r="C124" i="7" s="1"/>
  <c r="B123" i="7"/>
  <c r="C123" i="7" s="1"/>
  <c r="B122" i="7"/>
  <c r="C122" i="7" s="1"/>
  <c r="B121" i="7"/>
  <c r="C121" i="7" s="1"/>
  <c r="B120" i="7"/>
  <c r="C120" i="7" s="1"/>
  <c r="B119" i="7"/>
  <c r="C119" i="7" s="1"/>
  <c r="B118" i="7"/>
  <c r="C118" i="7" s="1"/>
  <c r="B117" i="7"/>
  <c r="C117" i="7" s="1"/>
  <c r="B116" i="7"/>
  <c r="C116" i="7" s="1"/>
  <c r="B115" i="7"/>
  <c r="C115" i="7" s="1"/>
  <c r="B114" i="7"/>
  <c r="C114" i="7" s="1"/>
  <c r="B113" i="7"/>
  <c r="C113" i="7" s="1"/>
  <c r="B112" i="7"/>
  <c r="C112" i="7" s="1"/>
  <c r="B111" i="7"/>
  <c r="C111" i="7" s="1"/>
  <c r="B110" i="7"/>
  <c r="C110" i="7" s="1"/>
  <c r="B109" i="7"/>
  <c r="C109" i="7" s="1"/>
  <c r="B108" i="7"/>
  <c r="C108" i="7" s="1"/>
  <c r="B107" i="7"/>
  <c r="C107" i="7" s="1"/>
  <c r="B106" i="7"/>
  <c r="C106" i="7" s="1"/>
  <c r="B105" i="7"/>
  <c r="C105" i="7" s="1"/>
  <c r="B104" i="7"/>
  <c r="C104" i="7" s="1"/>
  <c r="B103" i="7"/>
  <c r="C103" i="7" s="1"/>
  <c r="B102" i="7"/>
  <c r="C102" i="7" s="1"/>
  <c r="B101" i="7"/>
  <c r="C101" i="7" s="1"/>
  <c r="B100" i="7"/>
  <c r="C100" i="7" s="1"/>
  <c r="B99" i="7"/>
  <c r="C99" i="7" s="1"/>
  <c r="B98" i="7"/>
  <c r="C98" i="7" s="1"/>
  <c r="B97" i="7"/>
  <c r="C97" i="7" s="1"/>
  <c r="B96" i="7"/>
  <c r="C96" i="7" s="1"/>
  <c r="B95" i="7"/>
  <c r="C95" i="7" s="1"/>
  <c r="B94" i="7"/>
  <c r="C94" i="7" s="1"/>
  <c r="B93" i="7"/>
  <c r="C93" i="7" s="1"/>
  <c r="B92" i="7"/>
  <c r="C92" i="7" s="1"/>
  <c r="B91" i="7"/>
  <c r="C91" i="7" s="1"/>
  <c r="B90" i="7"/>
  <c r="C90" i="7" s="1"/>
  <c r="B89" i="7"/>
  <c r="C89" i="7" s="1"/>
  <c r="B88" i="7"/>
  <c r="C88" i="7" s="1"/>
  <c r="B87" i="7"/>
  <c r="C87" i="7" s="1"/>
  <c r="B86" i="7"/>
  <c r="C86" i="7" s="1"/>
  <c r="B85" i="7"/>
  <c r="C85" i="7" s="1"/>
  <c r="B84" i="7"/>
  <c r="C84" i="7" s="1"/>
  <c r="B83" i="7"/>
  <c r="C83" i="7" s="1"/>
  <c r="B82" i="7"/>
  <c r="C82" i="7" s="1"/>
  <c r="B81" i="7"/>
  <c r="C81" i="7" s="1"/>
  <c r="B80" i="7"/>
  <c r="C80" i="7" s="1"/>
  <c r="B79" i="7"/>
  <c r="C79" i="7" s="1"/>
  <c r="B78" i="7"/>
  <c r="C78" i="7" s="1"/>
  <c r="B77" i="7"/>
  <c r="C77" i="7" s="1"/>
  <c r="B76" i="7"/>
  <c r="C76" i="7" s="1"/>
  <c r="B75" i="7"/>
  <c r="C75" i="7" s="1"/>
  <c r="B74" i="7"/>
  <c r="C74" i="7" s="1"/>
  <c r="B73" i="7"/>
  <c r="C73" i="7" s="1"/>
  <c r="B72" i="7"/>
  <c r="C72" i="7" s="1"/>
  <c r="B71" i="7"/>
  <c r="C71" i="7" s="1"/>
  <c r="B70" i="7"/>
  <c r="C70" i="7" s="1"/>
  <c r="B69" i="7"/>
  <c r="C69" i="7" s="1"/>
  <c r="B68" i="7"/>
  <c r="C68" i="7" s="1"/>
  <c r="B67" i="7"/>
  <c r="C67" i="7" s="1"/>
  <c r="B66" i="7"/>
  <c r="C66" i="7" s="1"/>
  <c r="B65" i="7"/>
  <c r="C65" i="7" s="1"/>
  <c r="B64" i="7"/>
  <c r="C64" i="7" s="1"/>
  <c r="B63" i="7"/>
  <c r="C63" i="7" s="1"/>
  <c r="B62" i="7"/>
  <c r="C62" i="7" s="1"/>
  <c r="B61" i="7"/>
  <c r="C61" i="7" s="1"/>
  <c r="B60" i="7"/>
  <c r="C60" i="7" s="1"/>
  <c r="B59" i="7"/>
  <c r="C59" i="7" s="1"/>
  <c r="B58" i="7"/>
  <c r="C58" i="7" s="1"/>
  <c r="B57" i="7"/>
  <c r="C57" i="7" s="1"/>
  <c r="B56" i="7"/>
  <c r="C56" i="7" s="1"/>
  <c r="B55" i="7"/>
  <c r="C55" i="7" s="1"/>
  <c r="B54" i="7"/>
  <c r="C54" i="7" s="1"/>
  <c r="B53" i="7"/>
  <c r="C53" i="7" s="1"/>
  <c r="B52" i="7"/>
  <c r="C52" i="7" s="1"/>
  <c r="B51" i="7"/>
  <c r="C51" i="7" s="1"/>
  <c r="B50" i="7"/>
  <c r="C50" i="7" s="1"/>
  <c r="B49" i="7"/>
  <c r="C49" i="7" s="1"/>
  <c r="B48" i="7"/>
  <c r="C48" i="7" s="1"/>
  <c r="B47" i="7"/>
  <c r="C47" i="7" s="1"/>
  <c r="B46" i="7"/>
  <c r="C46" i="7" s="1"/>
  <c r="B45" i="7"/>
  <c r="C45" i="7" s="1"/>
  <c r="B44" i="7"/>
  <c r="C44" i="7" s="1"/>
  <c r="B43" i="7"/>
  <c r="C43" i="7" s="1"/>
  <c r="B42" i="7"/>
  <c r="C42" i="7" s="1"/>
  <c r="B41" i="7"/>
  <c r="C41" i="7" s="1"/>
  <c r="B40" i="7"/>
  <c r="C40" i="7" s="1"/>
  <c r="B39" i="7"/>
  <c r="C39" i="7" s="1"/>
  <c r="B38" i="7"/>
  <c r="C38" i="7" s="1"/>
  <c r="B37" i="7"/>
  <c r="C37" i="7" s="1"/>
  <c r="B36" i="7"/>
  <c r="C36" i="7" s="1"/>
  <c r="B35" i="7"/>
  <c r="C35" i="7" s="1"/>
  <c r="B34" i="7"/>
  <c r="C34" i="7" s="1"/>
  <c r="B33" i="7"/>
  <c r="C33" i="7" s="1"/>
  <c r="B32" i="7"/>
  <c r="C32" i="7" s="1"/>
  <c r="B31" i="7"/>
  <c r="C31" i="7" s="1"/>
  <c r="B30" i="7"/>
  <c r="C30" i="7" s="1"/>
  <c r="B29" i="7"/>
  <c r="C29" i="7" s="1"/>
  <c r="B28" i="7"/>
  <c r="C28" i="7" s="1"/>
  <c r="B27" i="7"/>
  <c r="C27" i="7" s="1"/>
  <c r="B26" i="7"/>
  <c r="C26" i="7" s="1"/>
  <c r="B25" i="7"/>
  <c r="C25" i="7" s="1"/>
  <c r="B24" i="7"/>
  <c r="C24" i="7" s="1"/>
  <c r="B23" i="7"/>
  <c r="C23" i="7" s="1"/>
  <c r="B22" i="7"/>
  <c r="C22" i="7" s="1"/>
  <c r="B21" i="7"/>
  <c r="C21" i="7" s="1"/>
  <c r="B20" i="7"/>
  <c r="C20" i="7" s="1"/>
  <c r="B19" i="7"/>
  <c r="C19" i="7" s="1"/>
  <c r="B18" i="7"/>
  <c r="C18" i="7" s="1"/>
  <c r="B17" i="7"/>
  <c r="C17" i="7" s="1"/>
  <c r="B16" i="7"/>
  <c r="C16" i="7" s="1"/>
  <c r="B15" i="7"/>
  <c r="C15" i="7" s="1"/>
  <c r="B14" i="7"/>
  <c r="C14" i="7" s="1"/>
  <c r="B13" i="7"/>
  <c r="C13" i="7" s="1"/>
  <c r="B12" i="7"/>
  <c r="C12" i="7" s="1"/>
  <c r="B11" i="7"/>
  <c r="C11" i="7" s="1"/>
  <c r="B10" i="7"/>
  <c r="C10" i="7" s="1"/>
  <c r="B9" i="7"/>
  <c r="C9" i="7" s="1"/>
  <c r="C95" i="13"/>
  <c r="F95" i="13" s="1"/>
  <c r="I2" i="24"/>
  <c r="B8" i="7"/>
  <c r="C8" i="7" s="1"/>
  <c r="B7" i="7"/>
  <c r="C7" i="7" s="1"/>
  <c r="B6" i="7"/>
  <c r="C6" i="7" s="1"/>
  <c r="B5" i="7"/>
  <c r="C5" i="7" s="1"/>
  <c r="B4" i="7"/>
  <c r="C4" i="7" s="1"/>
  <c r="B3" i="7"/>
  <c r="C3" i="7" s="1"/>
  <c r="B2" i="7"/>
  <c r="C2" i="7" s="1"/>
  <c r="C64" i="13"/>
  <c r="F64" i="13" s="1"/>
  <c r="I5" i="24"/>
  <c r="C90" i="13"/>
  <c r="F90" i="13" s="1"/>
  <c r="I8" i="24"/>
  <c r="C49" i="13"/>
  <c r="F49" i="13" s="1"/>
  <c r="I11" i="24"/>
  <c r="C44" i="13"/>
  <c r="F44" i="13" s="1"/>
  <c r="I14" i="24"/>
  <c r="C55" i="13"/>
  <c r="F55" i="13" s="1"/>
  <c r="I17" i="24"/>
  <c r="C89" i="13"/>
  <c r="F89" i="13" s="1"/>
  <c r="I20" i="24"/>
  <c r="C42" i="13"/>
  <c r="F42" i="13" s="1"/>
  <c r="I23" i="24"/>
  <c r="C47" i="13"/>
  <c r="F47" i="13" s="1"/>
  <c r="I26" i="24"/>
  <c r="C57" i="13"/>
  <c r="F57" i="13" s="1"/>
  <c r="I29" i="24"/>
  <c r="C92" i="13"/>
  <c r="F92" i="13" s="1"/>
  <c r="I32" i="24"/>
  <c r="C62" i="13"/>
  <c r="F62" i="13" s="1"/>
  <c r="I35" i="24"/>
  <c r="C65" i="13"/>
  <c r="F65" i="13" s="1"/>
  <c r="I38" i="24"/>
  <c r="C93" i="13"/>
  <c r="F93" i="13" s="1"/>
  <c r="I41" i="24"/>
  <c r="C2" i="13"/>
  <c r="F2" i="13" s="1"/>
  <c r="I44" i="24"/>
  <c r="C53" i="13"/>
  <c r="F53" i="13" s="1"/>
  <c r="I47" i="24"/>
  <c r="C59" i="13"/>
  <c r="F59" i="13" s="1"/>
  <c r="I50" i="24"/>
  <c r="C83" i="13"/>
  <c r="F83" i="13" s="1"/>
  <c r="I53" i="24"/>
  <c r="C61" i="13"/>
  <c r="F61" i="13" s="1"/>
  <c r="I56" i="24"/>
  <c r="C72" i="13"/>
  <c r="F72" i="13" s="1"/>
  <c r="I59" i="24"/>
  <c r="C32" i="13"/>
  <c r="F32" i="13" s="1"/>
  <c r="I62" i="24"/>
  <c r="C74" i="13"/>
  <c r="F74" i="13" s="1"/>
  <c r="I65" i="24"/>
  <c r="C60" i="13"/>
  <c r="F60" i="13" s="1"/>
  <c r="I68" i="24"/>
  <c r="C39" i="13"/>
  <c r="F39" i="13" s="1"/>
  <c r="I71" i="24"/>
  <c r="C88" i="13"/>
  <c r="F88" i="13" s="1"/>
  <c r="I74" i="24"/>
  <c r="C26" i="13"/>
  <c r="F26" i="13" s="1"/>
  <c r="I77" i="24"/>
  <c r="C43" i="13"/>
  <c r="F43" i="13" s="1"/>
  <c r="I80" i="24"/>
  <c r="C23" i="13"/>
  <c r="F23" i="13" s="1"/>
  <c r="I83" i="24"/>
  <c r="C91" i="13"/>
  <c r="F91" i="13" s="1"/>
  <c r="I86" i="24"/>
  <c r="C76" i="13"/>
  <c r="F76" i="13" s="1"/>
  <c r="I89" i="24"/>
  <c r="C13" i="13"/>
  <c r="F13" i="13" s="1"/>
  <c r="I92" i="24"/>
  <c r="C20" i="13"/>
  <c r="F20" i="13" s="1"/>
  <c r="I95" i="24"/>
  <c r="C97" i="13"/>
  <c r="F97" i="13" s="1"/>
  <c r="I3" i="24"/>
  <c r="C3" i="13"/>
  <c r="F3" i="13" s="1"/>
  <c r="I6" i="24"/>
  <c r="C80" i="13"/>
  <c r="F80" i="13" s="1"/>
  <c r="I9" i="24"/>
  <c r="C54" i="13"/>
  <c r="F54" i="13" s="1"/>
  <c r="I12" i="24"/>
  <c r="C36" i="13"/>
  <c r="F36" i="13" s="1"/>
  <c r="I15" i="24"/>
  <c r="C10" i="13"/>
  <c r="F10" i="13" s="1"/>
  <c r="I18" i="24"/>
  <c r="C81" i="13"/>
  <c r="F81" i="13" s="1"/>
  <c r="I21" i="24"/>
  <c r="C25" i="13"/>
  <c r="F25" i="13" s="1"/>
  <c r="I24" i="24"/>
  <c r="C45" i="13"/>
  <c r="F45" i="13" s="1"/>
  <c r="I27" i="24"/>
  <c r="C5" i="13"/>
  <c r="F5" i="13" s="1"/>
  <c r="I30" i="24"/>
  <c r="C79" i="13"/>
  <c r="F79" i="13" s="1"/>
  <c r="I33" i="24"/>
  <c r="C37" i="13"/>
  <c r="F37" i="13" s="1"/>
  <c r="I36" i="24"/>
  <c r="C58" i="13"/>
  <c r="F58" i="13" s="1"/>
  <c r="I39" i="24"/>
  <c r="C4" i="13"/>
  <c r="F4" i="13" s="1"/>
  <c r="I42" i="24"/>
  <c r="C94" i="13"/>
  <c r="F94" i="13" s="1"/>
  <c r="I45" i="24"/>
  <c r="C63" i="13"/>
  <c r="F63" i="13" s="1"/>
  <c r="I48" i="24"/>
  <c r="C66" i="13"/>
  <c r="F66" i="13" s="1"/>
  <c r="I51" i="24"/>
  <c r="B11" i="22"/>
  <c r="B3" i="21" s="1"/>
  <c r="C77" i="13"/>
  <c r="F77" i="13" s="1"/>
  <c r="I54" i="24"/>
  <c r="C86" i="13"/>
  <c r="F86" i="13" s="1"/>
  <c r="I57" i="24"/>
  <c r="C17" i="13"/>
  <c r="F17" i="13" s="1"/>
  <c r="I60" i="24"/>
  <c r="C33" i="13"/>
  <c r="F33" i="13" s="1"/>
  <c r="I63" i="24"/>
  <c r="C31" i="13"/>
  <c r="F31" i="13" s="1"/>
  <c r="I66" i="24"/>
  <c r="C27" i="13"/>
  <c r="F27" i="13" s="1"/>
  <c r="I69" i="24"/>
  <c r="C69" i="13"/>
  <c r="F69" i="13" s="1"/>
  <c r="I72" i="24"/>
  <c r="C82" i="13"/>
  <c r="F82" i="13" s="1"/>
  <c r="I75" i="24"/>
  <c r="C48" i="13"/>
  <c r="F48" i="13" s="1"/>
  <c r="I78" i="24"/>
  <c r="C30" i="13"/>
  <c r="F30" i="13" s="1"/>
  <c r="I81" i="24"/>
  <c r="C22" i="13"/>
  <c r="F22" i="13" s="1"/>
  <c r="I84" i="24"/>
  <c r="C78" i="13"/>
  <c r="F78" i="13" s="1"/>
  <c r="I87" i="24"/>
  <c r="C15" i="13"/>
  <c r="F15" i="13" s="1"/>
  <c r="I90" i="24"/>
  <c r="C46" i="13"/>
  <c r="F46" i="13" s="1"/>
  <c r="I93" i="24"/>
  <c r="C11" i="13"/>
  <c r="F11" i="13" s="1"/>
  <c r="I96" i="24"/>
  <c r="U96" i="24" l="1" a="1"/>
  <c r="U96" i="24" s="1"/>
  <c r="U93" i="24" a="1"/>
  <c r="U93" i="24" s="1"/>
  <c r="U90" i="24" a="1"/>
  <c r="U90" i="24" s="1"/>
  <c r="U87" i="24" a="1"/>
  <c r="U87" i="24" s="1"/>
  <c r="U84" i="24" a="1"/>
  <c r="U84" i="24" s="1"/>
  <c r="U81" i="24" a="1"/>
  <c r="U81" i="24" s="1"/>
  <c r="U78" i="24" a="1"/>
  <c r="U78" i="24" s="1"/>
  <c r="U75" i="24" a="1"/>
  <c r="U75" i="24" s="1"/>
  <c r="U72" i="24" a="1"/>
  <c r="U72" i="24" s="1"/>
  <c r="U69" i="24" a="1"/>
  <c r="U69" i="24" s="1"/>
  <c r="U66" i="24" a="1"/>
  <c r="U66" i="24" s="1"/>
  <c r="U63" i="24" a="1"/>
  <c r="U63" i="24" s="1"/>
  <c r="U60" i="24" a="1"/>
  <c r="U60" i="24" s="1"/>
  <c r="U57" i="24" a="1"/>
  <c r="U57" i="24" s="1"/>
  <c r="U54" i="24" a="1"/>
  <c r="U54" i="24" s="1"/>
  <c r="U51" i="24" a="1"/>
  <c r="U51" i="24" s="1"/>
  <c r="U48" i="24" a="1"/>
  <c r="U48" i="24" s="1"/>
  <c r="U45" i="24" a="1"/>
  <c r="U45" i="24" s="1"/>
  <c r="U42" i="24" a="1"/>
  <c r="U42" i="24" s="1"/>
  <c r="U39" i="24" a="1"/>
  <c r="U39" i="24" s="1"/>
  <c r="U36" i="24" a="1"/>
  <c r="U36" i="24" s="1"/>
  <c r="U33" i="24" a="1"/>
  <c r="U33" i="24" s="1"/>
  <c r="U30" i="24" a="1"/>
  <c r="U30" i="24" s="1"/>
  <c r="U27" i="24" a="1"/>
  <c r="U27" i="24" s="1"/>
  <c r="U24" i="24" a="1"/>
  <c r="U24" i="24" s="1"/>
  <c r="U21" i="24" a="1"/>
  <c r="U21" i="24" s="1"/>
  <c r="U18" i="24" a="1"/>
  <c r="U18" i="24" s="1"/>
  <c r="U15" i="24" a="1"/>
  <c r="U15" i="24" s="1"/>
  <c r="U12" i="24" a="1"/>
  <c r="U12" i="24" s="1"/>
  <c r="U9" i="24" a="1"/>
  <c r="U9" i="24" s="1"/>
  <c r="U6" i="24" a="1"/>
  <c r="U6" i="24" s="1"/>
  <c r="U95" i="24" a="1"/>
  <c r="U95" i="24" s="1"/>
  <c r="U92" i="24" a="1"/>
  <c r="U92" i="24" s="1"/>
  <c r="U89" i="24" a="1"/>
  <c r="U89" i="24" s="1"/>
  <c r="U86" i="24" a="1"/>
  <c r="U86" i="24" s="1"/>
  <c r="U83" i="24" a="1"/>
  <c r="U83" i="24" s="1"/>
  <c r="U80" i="24" a="1"/>
  <c r="U80" i="24" s="1"/>
  <c r="U77" i="24" a="1"/>
  <c r="U77" i="24" s="1"/>
  <c r="U74" i="24" a="1"/>
  <c r="U74" i="24" s="1"/>
  <c r="U71" i="24" a="1"/>
  <c r="U71" i="24" s="1"/>
  <c r="U68" i="24" a="1"/>
  <c r="U68" i="24" s="1"/>
  <c r="U65" i="24" a="1"/>
  <c r="U65" i="24" s="1"/>
  <c r="U62" i="24" a="1"/>
  <c r="U62" i="24" s="1"/>
  <c r="U59" i="24" a="1"/>
  <c r="U59" i="24" s="1"/>
  <c r="U56" i="24" a="1"/>
  <c r="U56" i="24" s="1"/>
  <c r="U53" i="24" a="1"/>
  <c r="U53" i="24" s="1"/>
  <c r="U50" i="24" a="1"/>
  <c r="U50" i="24" s="1"/>
  <c r="U47" i="24" a="1"/>
  <c r="U47" i="24" s="1"/>
  <c r="U44" i="24" a="1"/>
  <c r="U44" i="24" s="1"/>
  <c r="U41" i="24" a="1"/>
  <c r="U41" i="24" s="1"/>
  <c r="U38" i="24" a="1"/>
  <c r="U38" i="24" s="1"/>
  <c r="U35" i="24" a="1"/>
  <c r="U35" i="24" s="1"/>
  <c r="U32" i="24" a="1"/>
  <c r="U32" i="24" s="1"/>
  <c r="U29" i="24" a="1"/>
  <c r="U29" i="24" s="1"/>
  <c r="U26" i="24" a="1"/>
  <c r="U26" i="24" s="1"/>
  <c r="U23" i="24" a="1"/>
  <c r="U23" i="24" s="1"/>
  <c r="U20" i="24" a="1"/>
  <c r="U20" i="24" s="1"/>
  <c r="U17" i="24" a="1"/>
  <c r="U17" i="24" s="1"/>
  <c r="U14" i="24" a="1"/>
  <c r="U14" i="24" s="1"/>
  <c r="U11" i="24" a="1"/>
  <c r="U11" i="24" s="1"/>
  <c r="U8" i="24" a="1"/>
  <c r="U8" i="24" s="1"/>
  <c r="U5" i="24" a="1"/>
  <c r="U5" i="24" s="1"/>
  <c r="U97" i="24" a="1"/>
  <c r="U97" i="24" s="1"/>
  <c r="U94" i="24" a="1"/>
  <c r="U94" i="24" s="1"/>
  <c r="U91" i="24" a="1"/>
  <c r="U91" i="24" s="1"/>
  <c r="U88" i="24" a="1"/>
  <c r="U88" i="24" s="1"/>
  <c r="U85" i="24" a="1"/>
  <c r="U85" i="24" s="1"/>
  <c r="U82" i="24" a="1"/>
  <c r="U82" i="24" s="1"/>
  <c r="U79" i="24" a="1"/>
  <c r="U79" i="24" s="1"/>
  <c r="U76" i="24" a="1"/>
  <c r="U76" i="24" s="1"/>
  <c r="U73" i="24" a="1"/>
  <c r="U73" i="24" s="1"/>
  <c r="U70" i="24" a="1"/>
  <c r="U70" i="24" s="1"/>
  <c r="U67" i="24" a="1"/>
  <c r="U67" i="24" s="1"/>
  <c r="U64" i="24" a="1"/>
  <c r="U64" i="24" s="1"/>
  <c r="U61" i="24" a="1"/>
  <c r="U61" i="24" s="1"/>
  <c r="U58" i="24" a="1"/>
  <c r="U58" i="24" s="1"/>
  <c r="U55" i="24" a="1"/>
  <c r="U55" i="24" s="1"/>
  <c r="U52" i="24" a="1"/>
  <c r="U52" i="24" s="1"/>
  <c r="U49" i="24" a="1"/>
  <c r="U49" i="24" s="1"/>
  <c r="U46" i="24" a="1"/>
  <c r="U46" i="24" s="1"/>
  <c r="U43" i="24" a="1"/>
  <c r="U43" i="24" s="1"/>
  <c r="U40" i="24" a="1"/>
  <c r="U40" i="24" s="1"/>
  <c r="U37" i="24" a="1"/>
  <c r="U37" i="24" s="1"/>
  <c r="U34" i="24" a="1"/>
  <c r="U34" i="24" s="1"/>
  <c r="U31" i="24" a="1"/>
  <c r="U31" i="24" s="1"/>
  <c r="U28" i="24" a="1"/>
  <c r="U28" i="24" s="1"/>
  <c r="U25" i="24" a="1"/>
  <c r="U25" i="24" s="1"/>
  <c r="U22" i="24" a="1"/>
  <c r="U22" i="24" s="1"/>
  <c r="U19" i="24" a="1"/>
  <c r="U19" i="24" s="1"/>
  <c r="U16" i="24" a="1"/>
  <c r="U16" i="24" s="1"/>
  <c r="U13" i="24" a="1"/>
  <c r="U13" i="24" s="1"/>
  <c r="U10" i="24" a="1"/>
  <c r="U10" i="24" s="1"/>
  <c r="U7" i="24" a="1"/>
  <c r="U7" i="24" s="1"/>
  <c r="U4" i="24" a="1"/>
  <c r="U4" i="24" s="1"/>
  <c r="U2" i="24" a="1"/>
  <c r="U2" i="24" s="1"/>
  <c r="B32" i="22"/>
  <c r="B33" i="22"/>
  <c r="B34" i="22"/>
  <c r="M96" i="24"/>
  <c r="R96" i="24" s="1" a="1"/>
  <c r="R96" i="24" s="1"/>
  <c r="M93" i="24"/>
  <c r="R93" i="24" s="1" a="1"/>
  <c r="R93" i="24" s="1"/>
  <c r="M90" i="24"/>
  <c r="R90" i="24" s="1" a="1"/>
  <c r="R90" i="24" s="1"/>
  <c r="M87" i="24"/>
  <c r="R87" i="24" s="1" a="1"/>
  <c r="R87" i="24" s="1"/>
  <c r="M84" i="24"/>
  <c r="R84" i="24" s="1" a="1"/>
  <c r="R84" i="24" s="1"/>
  <c r="M81" i="24"/>
  <c r="R81" i="24" s="1" a="1"/>
  <c r="R81" i="24" s="1"/>
  <c r="M78" i="24"/>
  <c r="R78" i="24" s="1" a="1"/>
  <c r="R78" i="24" s="1"/>
  <c r="M75" i="24"/>
  <c r="R75" i="24" s="1" a="1"/>
  <c r="R75" i="24" s="1"/>
  <c r="M72" i="24"/>
  <c r="R72" i="24" s="1" a="1"/>
  <c r="R72" i="24" s="1"/>
  <c r="M69" i="24"/>
  <c r="R69" i="24" s="1" a="1"/>
  <c r="R69" i="24" s="1"/>
  <c r="M66" i="24"/>
  <c r="R66" i="24" s="1" a="1"/>
  <c r="R66" i="24" s="1"/>
  <c r="M63" i="24"/>
  <c r="R63" i="24" s="1" a="1"/>
  <c r="R63" i="24" s="1"/>
  <c r="M60" i="24"/>
  <c r="R60" i="24" s="1" a="1"/>
  <c r="R60" i="24" s="1"/>
  <c r="M57" i="24"/>
  <c r="R57" i="24" s="1" a="1"/>
  <c r="R57" i="24" s="1"/>
  <c r="M54" i="24"/>
  <c r="R54" i="24" s="1" a="1"/>
  <c r="R54" i="24" s="1"/>
  <c r="M51" i="24"/>
  <c r="R51" i="24" s="1" a="1"/>
  <c r="R51" i="24" s="1"/>
  <c r="M48" i="24"/>
  <c r="R48" i="24" s="1" a="1"/>
  <c r="R48" i="24" s="1"/>
  <c r="M45" i="24"/>
  <c r="R45" i="24" s="1" a="1"/>
  <c r="R45" i="24" s="1"/>
  <c r="M42" i="24"/>
  <c r="R42" i="24" s="1" a="1"/>
  <c r="R42" i="24" s="1"/>
  <c r="M39" i="24"/>
  <c r="R39" i="24" s="1" a="1"/>
  <c r="R39" i="24" s="1"/>
  <c r="M36" i="24"/>
  <c r="R36" i="24" s="1" a="1"/>
  <c r="R36" i="24" s="1"/>
  <c r="M33" i="24"/>
  <c r="R33" i="24" s="1" a="1"/>
  <c r="R33" i="24" s="1"/>
  <c r="M30" i="24"/>
  <c r="R30" i="24" s="1" a="1"/>
  <c r="R30" i="24" s="1"/>
  <c r="M27" i="24"/>
  <c r="R27" i="24" s="1" a="1"/>
  <c r="R27" i="24" s="1"/>
  <c r="M24" i="24"/>
  <c r="R24" i="24" s="1" a="1"/>
  <c r="R24" i="24" s="1"/>
  <c r="M21" i="24"/>
  <c r="R21" i="24" s="1" a="1"/>
  <c r="R21" i="24" s="1"/>
  <c r="M18" i="24"/>
  <c r="R18" i="24" s="1" a="1"/>
  <c r="R18" i="24" s="1"/>
  <c r="M15" i="24"/>
  <c r="R15" i="24" s="1" a="1"/>
  <c r="R15" i="24" s="1"/>
  <c r="M12" i="24"/>
  <c r="R12" i="24" s="1" a="1"/>
  <c r="R12" i="24" s="1"/>
  <c r="M9" i="24"/>
  <c r="R9" i="24" s="1" a="1"/>
  <c r="R9" i="24" s="1"/>
  <c r="M6" i="24"/>
  <c r="R6" i="24" s="1" a="1"/>
  <c r="R6" i="24" s="1"/>
  <c r="M3" i="24"/>
  <c r="R3" i="24" s="1" a="1"/>
  <c r="R3" i="24" s="1"/>
  <c r="M95" i="24"/>
  <c r="R95" i="24" s="1" a="1"/>
  <c r="R95" i="24" s="1"/>
  <c r="M92" i="24"/>
  <c r="R92" i="24" s="1" a="1"/>
  <c r="R92" i="24" s="1"/>
  <c r="M89" i="24"/>
  <c r="R89" i="24" s="1" a="1"/>
  <c r="R89" i="24" s="1"/>
  <c r="M86" i="24"/>
  <c r="R86" i="24" s="1" a="1"/>
  <c r="R86" i="24" s="1"/>
  <c r="M83" i="24"/>
  <c r="R83" i="24" s="1" a="1"/>
  <c r="R83" i="24" s="1"/>
  <c r="M80" i="24"/>
  <c r="R80" i="24" s="1" a="1"/>
  <c r="R80" i="24" s="1"/>
  <c r="M77" i="24"/>
  <c r="R77" i="24" s="1" a="1"/>
  <c r="R77" i="24" s="1"/>
  <c r="M74" i="24"/>
  <c r="R74" i="24" s="1" a="1"/>
  <c r="R74" i="24" s="1"/>
  <c r="M71" i="24"/>
  <c r="R71" i="24" s="1" a="1"/>
  <c r="R71" i="24" s="1"/>
  <c r="M68" i="24"/>
  <c r="R68" i="24" s="1" a="1"/>
  <c r="R68" i="24" s="1"/>
  <c r="M65" i="24"/>
  <c r="R65" i="24" s="1" a="1"/>
  <c r="R65" i="24" s="1"/>
  <c r="M62" i="24"/>
  <c r="R62" i="24" s="1" a="1"/>
  <c r="R62" i="24" s="1"/>
  <c r="M59" i="24"/>
  <c r="R59" i="24" s="1" a="1"/>
  <c r="R59" i="24" s="1"/>
  <c r="M56" i="24"/>
  <c r="R56" i="24" s="1" a="1"/>
  <c r="R56" i="24" s="1"/>
  <c r="M53" i="24"/>
  <c r="R53" i="24" s="1" a="1"/>
  <c r="R53" i="24" s="1"/>
  <c r="M50" i="24"/>
  <c r="R50" i="24" s="1" a="1"/>
  <c r="R50" i="24" s="1"/>
  <c r="M47" i="24"/>
  <c r="R47" i="24" s="1" a="1"/>
  <c r="R47" i="24" s="1"/>
  <c r="M44" i="24"/>
  <c r="R44" i="24" s="1" a="1"/>
  <c r="R44" i="24" s="1"/>
  <c r="M41" i="24"/>
  <c r="R41" i="24" s="1" a="1"/>
  <c r="R41" i="24" s="1"/>
  <c r="M38" i="24"/>
  <c r="R38" i="24" s="1" a="1"/>
  <c r="R38" i="24" s="1"/>
  <c r="M35" i="24"/>
  <c r="R35" i="24" s="1" a="1"/>
  <c r="R35" i="24" s="1"/>
  <c r="M32" i="24"/>
  <c r="R32" i="24" s="1" a="1"/>
  <c r="R32" i="24" s="1"/>
  <c r="M29" i="24"/>
  <c r="R29" i="24" s="1" a="1"/>
  <c r="R29" i="24" s="1"/>
  <c r="M26" i="24"/>
  <c r="R26" i="24" s="1" a="1"/>
  <c r="R26" i="24" s="1"/>
  <c r="M23" i="24"/>
  <c r="R23" i="24" s="1" a="1"/>
  <c r="R23" i="24" s="1"/>
  <c r="M20" i="24"/>
  <c r="R20" i="24" s="1" a="1"/>
  <c r="R20" i="24" s="1"/>
  <c r="M17" i="24"/>
  <c r="R17" i="24" s="1" a="1"/>
  <c r="R17" i="24" s="1"/>
  <c r="M14" i="24"/>
  <c r="R14" i="24" s="1" a="1"/>
  <c r="R14" i="24" s="1"/>
  <c r="M11" i="24"/>
  <c r="R11" i="24" s="1" a="1"/>
  <c r="R11" i="24" s="1"/>
  <c r="M8" i="24"/>
  <c r="R8" i="24" s="1" a="1"/>
  <c r="R8" i="24" s="1"/>
  <c r="M5" i="24"/>
  <c r="R5" i="24" s="1" a="1"/>
  <c r="R5" i="24" s="1"/>
  <c r="M2" i="24"/>
  <c r="R2" i="24" s="1" a="1"/>
  <c r="R2" i="24" s="1"/>
  <c r="M97" i="24"/>
  <c r="R97" i="24" s="1" a="1"/>
  <c r="R97" i="24" s="1"/>
  <c r="M94" i="24"/>
  <c r="R94" i="24" s="1" a="1"/>
  <c r="R94" i="24" s="1"/>
  <c r="M91" i="24"/>
  <c r="R91" i="24" s="1" a="1"/>
  <c r="R91" i="24" s="1"/>
  <c r="M88" i="24"/>
  <c r="R88" i="24" s="1" a="1"/>
  <c r="R88" i="24" s="1"/>
  <c r="M85" i="24"/>
  <c r="R85" i="24" s="1" a="1"/>
  <c r="R85" i="24" s="1"/>
  <c r="M82" i="24"/>
  <c r="R82" i="24" s="1" a="1"/>
  <c r="R82" i="24" s="1"/>
  <c r="M79" i="24"/>
  <c r="R79" i="24" s="1" a="1"/>
  <c r="R79" i="24" s="1"/>
  <c r="M76" i="24"/>
  <c r="R76" i="24" s="1" a="1"/>
  <c r="R76" i="24" s="1"/>
  <c r="M73" i="24"/>
  <c r="R73" i="24" s="1" a="1"/>
  <c r="R73" i="24" s="1"/>
  <c r="M70" i="24"/>
  <c r="R70" i="24" s="1" a="1"/>
  <c r="R70" i="24" s="1"/>
  <c r="M67" i="24"/>
  <c r="R67" i="24" s="1" a="1"/>
  <c r="R67" i="24" s="1"/>
  <c r="M64" i="24"/>
  <c r="R64" i="24" s="1" a="1"/>
  <c r="R64" i="24" s="1"/>
  <c r="M61" i="24"/>
  <c r="R61" i="24" s="1" a="1"/>
  <c r="R61" i="24" s="1"/>
  <c r="M58" i="24"/>
  <c r="R58" i="24" s="1" a="1"/>
  <c r="R58" i="24" s="1"/>
  <c r="M55" i="24"/>
  <c r="R55" i="24" s="1" a="1"/>
  <c r="R55" i="24" s="1"/>
  <c r="M52" i="24"/>
  <c r="R52" i="24" s="1" a="1"/>
  <c r="R52" i="24" s="1"/>
  <c r="M49" i="24"/>
  <c r="R49" i="24" s="1" a="1"/>
  <c r="R49" i="24" s="1"/>
  <c r="M46" i="24"/>
  <c r="R46" i="24" s="1" a="1"/>
  <c r="R46" i="24" s="1"/>
  <c r="M43" i="24"/>
  <c r="R43" i="24" s="1" a="1"/>
  <c r="R43" i="24" s="1"/>
  <c r="M40" i="24"/>
  <c r="R40" i="24" s="1" a="1"/>
  <c r="R40" i="24" s="1"/>
  <c r="M37" i="24"/>
  <c r="R37" i="24" s="1" a="1"/>
  <c r="R37" i="24" s="1"/>
  <c r="M34" i="24"/>
  <c r="R34" i="24" s="1" a="1"/>
  <c r="R34" i="24" s="1"/>
  <c r="M31" i="24"/>
  <c r="R31" i="24" s="1" a="1"/>
  <c r="R31" i="24" s="1"/>
  <c r="M28" i="24"/>
  <c r="R28" i="24" s="1" a="1"/>
  <c r="R28" i="24" s="1"/>
  <c r="M25" i="24"/>
  <c r="R25" i="24" s="1" a="1"/>
  <c r="R25" i="24" s="1"/>
  <c r="M22" i="24"/>
  <c r="R22" i="24" s="1" a="1"/>
  <c r="R22" i="24" s="1"/>
  <c r="M19" i="24"/>
  <c r="R19" i="24" s="1" a="1"/>
  <c r="R19" i="24" s="1"/>
  <c r="M16" i="24"/>
  <c r="R16" i="24" s="1" a="1"/>
  <c r="R16" i="24" s="1"/>
  <c r="M13" i="24"/>
  <c r="R13" i="24" s="1" a="1"/>
  <c r="R13" i="24" s="1"/>
  <c r="M10" i="24"/>
  <c r="R10" i="24" s="1" a="1"/>
  <c r="R10" i="24" s="1"/>
  <c r="M7" i="24"/>
  <c r="R7" i="24" s="1" a="1"/>
  <c r="R7" i="24" s="1"/>
  <c r="M4" i="24"/>
  <c r="R4" i="24" s="1" a="1"/>
  <c r="R4" i="24" s="1"/>
  <c r="U3" i="24" l="1" a="1"/>
  <c r="U3" i="24" s="1"/>
  <c r="S32" i="24"/>
  <c r="N54" i="24"/>
  <c r="F22" i="27"/>
  <c r="F23" i="27"/>
  <c r="S13" i="24"/>
  <c r="T13" i="24" s="1"/>
  <c r="N2" i="24"/>
  <c r="S41" i="24"/>
  <c r="T41" i="24" s="1"/>
  <c r="S3" i="24"/>
  <c r="T3" i="24" s="1"/>
  <c r="S45" i="24"/>
  <c r="D94" i="13" s="1"/>
  <c r="B5" i="27"/>
  <c r="S70" i="24"/>
  <c r="T70" i="24" s="1"/>
  <c r="B1228" i="7"/>
  <c r="C1228" i="7" s="1"/>
  <c r="S71" i="24"/>
  <c r="T71" i="24" s="1"/>
  <c r="B1204" i="7"/>
  <c r="C1204" i="7" s="1"/>
  <c r="S10" i="24"/>
  <c r="T10" i="24" s="1"/>
  <c r="B1266" i="7"/>
  <c r="C1266" i="7" s="1"/>
  <c r="S46" i="24"/>
  <c r="T46" i="24" s="1"/>
  <c r="B1229" i="7"/>
  <c r="C1229" i="7" s="1"/>
  <c r="S82" i="24"/>
  <c r="T82" i="24" s="1"/>
  <c r="B1262" i="7"/>
  <c r="C1262" i="7" s="1"/>
  <c r="S11" i="24"/>
  <c r="D49" i="13" s="1"/>
  <c r="B1225" i="7"/>
  <c r="C1225" i="7" s="1"/>
  <c r="S31" i="24"/>
  <c r="T31" i="24" s="1"/>
  <c r="B1101" i="7"/>
  <c r="C1101" i="7" s="1"/>
  <c r="S49" i="24"/>
  <c r="T49" i="24" s="1"/>
  <c r="B1162" i="7"/>
  <c r="C1162" i="7" s="1"/>
  <c r="S67" i="24"/>
  <c r="T67" i="24" s="1"/>
  <c r="B1207" i="7"/>
  <c r="C1207" i="7" s="1"/>
  <c r="S85" i="24"/>
  <c r="D19" i="13" s="1"/>
  <c r="B1167" i="7"/>
  <c r="C1167" i="7" s="1"/>
  <c r="S14" i="24"/>
  <c r="T14" i="24" s="1"/>
  <c r="B1218" i="7"/>
  <c r="C1218" i="7" s="1"/>
  <c r="S50" i="24"/>
  <c r="T50" i="24" s="1"/>
  <c r="B1244" i="7"/>
  <c r="C1244" i="7" s="1"/>
  <c r="S68" i="24"/>
  <c r="T68" i="24" s="1"/>
  <c r="B1250" i="7"/>
  <c r="C1250" i="7" s="1"/>
  <c r="S86" i="24"/>
  <c r="B1804" i="7"/>
  <c r="C1804" i="7" s="1"/>
  <c r="S9" i="24"/>
  <c r="T9" i="24" s="1"/>
  <c r="B1793" i="7"/>
  <c r="C1793" i="7" s="1"/>
  <c r="S27" i="24"/>
  <c r="T27" i="24" s="1"/>
  <c r="B1220" i="7"/>
  <c r="C1220" i="7" s="1"/>
  <c r="S63" i="24"/>
  <c r="T63" i="24" s="1"/>
  <c r="B1187" i="7"/>
  <c r="C1187" i="7" s="1"/>
  <c r="S81" i="24"/>
  <c r="D30" i="13" s="1"/>
  <c r="B1182" i="7"/>
  <c r="C1182" i="7" s="1"/>
  <c r="S16" i="24"/>
  <c r="T16" i="24" s="1"/>
  <c r="B1193" i="7"/>
  <c r="C1193" i="7" s="1"/>
  <c r="S17" i="24"/>
  <c r="T17" i="24" s="1"/>
  <c r="B1237" i="7"/>
  <c r="C1237" i="7" s="1"/>
  <c r="S30" i="24"/>
  <c r="T30" i="24" s="1"/>
  <c r="B1100" i="7"/>
  <c r="C1100" i="7" s="1"/>
  <c r="S84" i="24"/>
  <c r="T84" i="24" s="1"/>
  <c r="B1172" i="7"/>
  <c r="C1172" i="7" s="1"/>
  <c r="S52" i="24"/>
  <c r="T52" i="24" s="1"/>
  <c r="B1180" i="7"/>
  <c r="C1180" i="7" s="1"/>
  <c r="S35" i="24"/>
  <c r="T35" i="24" s="1"/>
  <c r="B1252" i="7"/>
  <c r="C1252" i="7" s="1"/>
  <c r="S48" i="24"/>
  <c r="T48" i="24" s="1"/>
  <c r="B1253" i="7"/>
  <c r="C1253" i="7" s="1"/>
  <c r="S66" i="24"/>
  <c r="T66" i="24" s="1"/>
  <c r="B1183" i="7"/>
  <c r="C1183" i="7" s="1"/>
  <c r="S19" i="24"/>
  <c r="T19" i="24" s="1"/>
  <c r="B1104" i="7"/>
  <c r="C1104" i="7" s="1"/>
  <c r="S37" i="24"/>
  <c r="D40" i="13" s="1"/>
  <c r="B1206" i="7"/>
  <c r="C1206" i="7" s="1"/>
  <c r="S55" i="24"/>
  <c r="D12" i="13" s="1"/>
  <c r="B1160" i="7"/>
  <c r="C1160" i="7" s="1"/>
  <c r="S73" i="24"/>
  <c r="T73" i="24" s="1"/>
  <c r="B1264" i="7"/>
  <c r="C1264" i="7" s="1"/>
  <c r="S91" i="24"/>
  <c r="D16" i="13" s="1"/>
  <c r="B1164" i="7"/>
  <c r="C1164" i="7" s="1"/>
  <c r="S20" i="24"/>
  <c r="T20" i="24" s="1"/>
  <c r="B1802" i="7"/>
  <c r="C1802" i="7" s="1"/>
  <c r="S38" i="24"/>
  <c r="T38" i="24" s="1"/>
  <c r="B1255" i="7"/>
  <c r="C1255" i="7" s="1"/>
  <c r="S56" i="24"/>
  <c r="T56" i="24" s="1"/>
  <c r="B1251" i="7"/>
  <c r="C1251" i="7" s="1"/>
  <c r="S74" i="24"/>
  <c r="T74" i="24" s="1"/>
  <c r="B1801" i="7"/>
  <c r="C1801" i="7" s="1"/>
  <c r="S92" i="24"/>
  <c r="T92" i="24" s="1"/>
  <c r="B1161" i="7"/>
  <c r="C1161" i="7" s="1"/>
  <c r="S15" i="24"/>
  <c r="T15" i="24" s="1"/>
  <c r="B1197" i="7"/>
  <c r="C1197" i="7" s="1"/>
  <c r="S33" i="24"/>
  <c r="D79" i="13" s="1"/>
  <c r="B1792" i="7"/>
  <c r="C1792" i="7" s="1"/>
  <c r="S51" i="24"/>
  <c r="T51" i="24" s="1"/>
  <c r="B1256" i="7"/>
  <c r="C1256" i="7" s="1"/>
  <c r="S69" i="24"/>
  <c r="T69" i="24" s="1"/>
  <c r="B1179" i="7"/>
  <c r="C1179" i="7" s="1"/>
  <c r="S87" i="24"/>
  <c r="T87" i="24" s="1"/>
  <c r="B1791" i="7"/>
  <c r="C1791" i="7" s="1"/>
  <c r="S34" i="24"/>
  <c r="T34" i="24" s="1"/>
  <c r="B1238" i="7"/>
  <c r="C1238" i="7" s="1"/>
  <c r="S53" i="24"/>
  <c r="T53" i="24" s="1"/>
  <c r="B1796" i="7"/>
  <c r="C1796" i="7" s="1"/>
  <c r="S4" i="24"/>
  <c r="B1192" i="7"/>
  <c r="C1192" i="7" s="1"/>
  <c r="S40" i="24"/>
  <c r="T40" i="24" s="1"/>
  <c r="B1203" i="7"/>
  <c r="C1203" i="7" s="1"/>
  <c r="S58" i="24"/>
  <c r="T58" i="24" s="1"/>
  <c r="B1261" i="7"/>
  <c r="C1261" i="7" s="1"/>
  <c r="S76" i="24"/>
  <c r="T76" i="24" s="1"/>
  <c r="B1797" i="7"/>
  <c r="C1797" i="7" s="1"/>
  <c r="S94" i="24"/>
  <c r="T94" i="24" s="1"/>
  <c r="B1258" i="7"/>
  <c r="C1258" i="7" s="1"/>
  <c r="S5" i="24"/>
  <c r="T5" i="24" s="1"/>
  <c r="B1254" i="7"/>
  <c r="C1254" i="7" s="1"/>
  <c r="S23" i="24"/>
  <c r="D42" i="13" s="1"/>
  <c r="B1210" i="7"/>
  <c r="C1210" i="7" s="1"/>
  <c r="S59" i="24"/>
  <c r="T59" i="24" s="1"/>
  <c r="B1263" i="7"/>
  <c r="C1263" i="7" s="1"/>
  <c r="S77" i="24"/>
  <c r="T77" i="24" s="1"/>
  <c r="B1178" i="7"/>
  <c r="C1178" i="7" s="1"/>
  <c r="S95" i="24"/>
  <c r="T95" i="24" s="1"/>
  <c r="B1169" i="7"/>
  <c r="C1169" i="7" s="1"/>
  <c r="S18" i="24"/>
  <c r="T18" i="24" s="1"/>
  <c r="B1106" i="7"/>
  <c r="C1106" i="7" s="1"/>
  <c r="S36" i="24"/>
  <c r="T36" i="24" s="1"/>
  <c r="B1201" i="7"/>
  <c r="C1201" i="7" s="1"/>
  <c r="S72" i="24"/>
  <c r="D69" i="13" s="1"/>
  <c r="B1260" i="7"/>
  <c r="C1260" i="7" s="1"/>
  <c r="S90" i="24"/>
  <c r="T90" i="24" s="1"/>
  <c r="B1163" i="7"/>
  <c r="C1163" i="7" s="1"/>
  <c r="S88" i="24"/>
  <c r="T88" i="24" s="1"/>
  <c r="B1800" i="7"/>
  <c r="C1800" i="7" s="1"/>
  <c r="S89" i="24"/>
  <c r="T89" i="24" s="1"/>
  <c r="B1789" i="7"/>
  <c r="C1789" i="7" s="1"/>
  <c r="S22" i="24"/>
  <c r="T22" i="24" s="1"/>
  <c r="B1226" i="7"/>
  <c r="C1226" i="7" s="1"/>
  <c r="S7" i="24"/>
  <c r="T7" i="24" s="1"/>
  <c r="B1102" i="7"/>
  <c r="C1102" i="7" s="1"/>
  <c r="S25" i="24"/>
  <c r="T25" i="24" s="1"/>
  <c r="B1259" i="7"/>
  <c r="C1259" i="7" s="1"/>
  <c r="S43" i="24"/>
  <c r="T43" i="24" s="1"/>
  <c r="B1103" i="7"/>
  <c r="C1103" i="7" s="1"/>
  <c r="S61" i="24"/>
  <c r="D21" i="13" s="1"/>
  <c r="B1171" i="7"/>
  <c r="C1171" i="7" s="1"/>
  <c r="S79" i="24"/>
  <c r="T79" i="24" s="1"/>
  <c r="B1166" i="7"/>
  <c r="C1166" i="7" s="1"/>
  <c r="S97" i="24"/>
  <c r="T97" i="24" s="1"/>
  <c r="B1798" i="7"/>
  <c r="C1798" i="7" s="1"/>
  <c r="S8" i="24"/>
  <c r="T8" i="24" s="1"/>
  <c r="B1803" i="7"/>
  <c r="C1803" i="7" s="1"/>
  <c r="S26" i="24"/>
  <c r="T26" i="24" s="1"/>
  <c r="B1223" i="7"/>
  <c r="C1223" i="7" s="1"/>
  <c r="S44" i="24"/>
  <c r="T44" i="24" s="1"/>
  <c r="B1097" i="7"/>
  <c r="C1097" i="7" s="1"/>
  <c r="S62" i="24"/>
  <c r="T62" i="24" s="1"/>
  <c r="B1185" i="7"/>
  <c r="C1185" i="7" s="1"/>
  <c r="S80" i="24"/>
  <c r="D43" i="13" s="1"/>
  <c r="B1217" i="7"/>
  <c r="C1217" i="7" s="1"/>
  <c r="S21" i="24"/>
  <c r="T21" i="24" s="1"/>
  <c r="B1794" i="7"/>
  <c r="C1794" i="7" s="1"/>
  <c r="S39" i="24"/>
  <c r="T39" i="24" s="1"/>
  <c r="B1242" i="7"/>
  <c r="C1242" i="7" s="1"/>
  <c r="S57" i="24"/>
  <c r="D86" i="13" s="1"/>
  <c r="B1799" i="7"/>
  <c r="C1799" i="7" s="1"/>
  <c r="S75" i="24"/>
  <c r="T75" i="24" s="1"/>
  <c r="B1795" i="7"/>
  <c r="C1795" i="7" s="1"/>
  <c r="S93" i="24"/>
  <c r="T93" i="24" s="1"/>
  <c r="B1221" i="7"/>
  <c r="C1221" i="7" s="1"/>
  <c r="S12" i="24"/>
  <c r="T12" i="24" s="1"/>
  <c r="B1236" i="7"/>
  <c r="C1236" i="7" s="1"/>
  <c r="S28" i="24"/>
  <c r="T28" i="24" s="1"/>
  <c r="B1175" i="7"/>
  <c r="C1175" i="7" s="1"/>
  <c r="S64" i="24"/>
  <c r="T64" i="24" s="1"/>
  <c r="B1181" i="7"/>
  <c r="C1181" i="7" s="1"/>
  <c r="S29" i="24"/>
  <c r="T29" i="24" s="1"/>
  <c r="B1241" i="7"/>
  <c r="C1241" i="7" s="1"/>
  <c r="S47" i="24"/>
  <c r="T47" i="24" s="1"/>
  <c r="B1235" i="7"/>
  <c r="C1235" i="7" s="1"/>
  <c r="S65" i="24"/>
  <c r="T65" i="24" s="1"/>
  <c r="B1265" i="7"/>
  <c r="C1265" i="7" s="1"/>
  <c r="S83" i="24"/>
  <c r="T83" i="24" s="1"/>
  <c r="B1174" i="7"/>
  <c r="C1174" i="7" s="1"/>
  <c r="S6" i="24"/>
  <c r="T6" i="24" s="1"/>
  <c r="B1098" i="7"/>
  <c r="C1098" i="7" s="1"/>
  <c r="S24" i="24"/>
  <c r="D25" i="13" s="1"/>
  <c r="B1177" i="7"/>
  <c r="C1177" i="7" s="1"/>
  <c r="S42" i="24"/>
  <c r="T42" i="24" s="1"/>
  <c r="B1099" i="7"/>
  <c r="C1099" i="7" s="1"/>
  <c r="S60" i="24"/>
  <c r="T60" i="24" s="1"/>
  <c r="B1165" i="7"/>
  <c r="C1165" i="7" s="1"/>
  <c r="S78" i="24"/>
  <c r="T78" i="24" s="1"/>
  <c r="B1224" i="7"/>
  <c r="C1224" i="7" s="1"/>
  <c r="S96" i="24"/>
  <c r="D11" i="13" s="1"/>
  <c r="B1159" i="7"/>
  <c r="C1159" i="7" s="1"/>
  <c r="N24" i="24"/>
  <c r="Q24" i="24" s="1"/>
  <c r="N25" i="24"/>
  <c r="Q25" i="24" s="1"/>
  <c r="N79" i="24"/>
  <c r="N23" i="24"/>
  <c r="Q23" i="24" s="1"/>
  <c r="N34" i="24"/>
  <c r="Q34" i="24" s="1"/>
  <c r="N89" i="24"/>
  <c r="Q89" i="24" s="1"/>
  <c r="N61" i="24"/>
  <c r="Q61" i="24" s="1"/>
  <c r="N52" i="24"/>
  <c r="Q52" i="24" s="1"/>
  <c r="N42" i="24"/>
  <c r="Q42" i="24" s="1"/>
  <c r="N88" i="24"/>
  <c r="Q88" i="24" s="1"/>
  <c r="N14" i="24"/>
  <c r="Q14" i="24" s="1"/>
  <c r="N62" i="24"/>
  <c r="Q62" i="24" s="1"/>
  <c r="N15" i="24"/>
  <c r="Q15" i="24" s="1"/>
  <c r="N6" i="24"/>
  <c r="Q6" i="24" s="1"/>
  <c r="N33" i="24"/>
  <c r="Q33" i="24" s="1"/>
  <c r="N16" i="24"/>
  <c r="Q16" i="24" s="1"/>
  <c r="N43" i="24"/>
  <c r="Q43" i="24" s="1"/>
  <c r="N70" i="24"/>
  <c r="Q70" i="24" s="1"/>
  <c r="N97" i="24"/>
  <c r="Q97" i="24" s="1"/>
  <c r="N5" i="24"/>
  <c r="Q5" i="24" s="1"/>
  <c r="N32" i="24"/>
  <c r="Q32" i="24" s="1"/>
  <c r="N80" i="24"/>
  <c r="Q80" i="24" s="1"/>
  <c r="N7" i="24"/>
  <c r="Q7" i="24" s="1"/>
  <c r="N19" i="24"/>
  <c r="Q19" i="24" s="1"/>
  <c r="N28" i="24"/>
  <c r="Q28" i="24" s="1"/>
  <c r="N37" i="24"/>
  <c r="Q37" i="24" s="1"/>
  <c r="N46" i="24"/>
  <c r="Q46" i="24" s="1"/>
  <c r="N55" i="24"/>
  <c r="Q55" i="24" s="1"/>
  <c r="N64" i="24"/>
  <c r="Q64" i="24" s="1"/>
  <c r="N73" i="24"/>
  <c r="Q73" i="24" s="1"/>
  <c r="N82" i="24"/>
  <c r="Q82" i="24" s="1"/>
  <c r="N91" i="24"/>
  <c r="Q91" i="24" s="1"/>
  <c r="N8" i="24"/>
  <c r="Q8" i="24" s="1"/>
  <c r="N17" i="24"/>
  <c r="Q17" i="24" s="1"/>
  <c r="N26" i="24"/>
  <c r="Q26" i="24" s="1"/>
  <c r="N35" i="24"/>
  <c r="Q35" i="24" s="1"/>
  <c r="N9" i="24"/>
  <c r="Q9" i="24" s="1"/>
  <c r="N18" i="24"/>
  <c r="Q18" i="24" s="1"/>
  <c r="N27" i="24"/>
  <c r="Q27" i="24" s="1"/>
  <c r="N36" i="24"/>
  <c r="Q36" i="24" s="1"/>
  <c r="N22" i="24"/>
  <c r="Q22" i="24" s="1"/>
  <c r="N31" i="24"/>
  <c r="Q31" i="24" s="1"/>
  <c r="N40" i="24"/>
  <c r="Q40" i="24" s="1"/>
  <c r="N49" i="24"/>
  <c r="Q49" i="24" s="1"/>
  <c r="N58" i="24"/>
  <c r="Q58" i="24" s="1"/>
  <c r="N67" i="24"/>
  <c r="Q67" i="24" s="1"/>
  <c r="N76" i="24"/>
  <c r="Q76" i="24" s="1"/>
  <c r="N85" i="24"/>
  <c r="Q85" i="24" s="1"/>
  <c r="N94" i="24"/>
  <c r="Q94" i="24" s="1"/>
  <c r="N11" i="24"/>
  <c r="Q11" i="24" s="1"/>
  <c r="N20" i="24"/>
  <c r="Q20" i="24" s="1"/>
  <c r="N29" i="24"/>
  <c r="Q29" i="24" s="1"/>
  <c r="N38" i="24"/>
  <c r="Q38" i="24" s="1"/>
  <c r="N12" i="24"/>
  <c r="Q12" i="24" s="1"/>
  <c r="N21" i="24"/>
  <c r="Q21" i="24" s="1"/>
  <c r="N30" i="24"/>
  <c r="Q30" i="24" s="1"/>
  <c r="N39" i="24"/>
  <c r="Q39" i="24" s="1"/>
  <c r="N71" i="24"/>
  <c r="Q71" i="24" s="1"/>
  <c r="N10" i="24"/>
  <c r="Q10" i="24" s="1"/>
  <c r="N47" i="24"/>
  <c r="Q47" i="24" s="1"/>
  <c r="N56" i="24"/>
  <c r="Q56" i="24" s="1"/>
  <c r="N65" i="24"/>
  <c r="Q65" i="24" s="1"/>
  <c r="N74" i="24"/>
  <c r="Q74" i="24" s="1"/>
  <c r="N83" i="24"/>
  <c r="Q83" i="24" s="1"/>
  <c r="N92" i="24"/>
  <c r="Q92" i="24" s="1"/>
  <c r="N63" i="24"/>
  <c r="Q63" i="24" s="1"/>
  <c r="N72" i="24"/>
  <c r="Q72" i="24" s="1"/>
  <c r="N81" i="24"/>
  <c r="Q81" i="24" s="1"/>
  <c r="N90" i="24"/>
  <c r="Q90" i="24" s="1"/>
  <c r="N4" i="24"/>
  <c r="Q4" i="24" s="1"/>
  <c r="N50" i="24"/>
  <c r="Q50" i="24" s="1"/>
  <c r="N59" i="24"/>
  <c r="Q59" i="24" s="1"/>
  <c r="N68" i="24"/>
  <c r="N77" i="24"/>
  <c r="Q77" i="24" s="1"/>
  <c r="N86" i="24"/>
  <c r="Q86" i="24" s="1"/>
  <c r="N95" i="24"/>
  <c r="Q95" i="24" s="1"/>
  <c r="N48" i="24"/>
  <c r="Q48" i="24" s="1"/>
  <c r="N57" i="24"/>
  <c r="Q57" i="24" s="1"/>
  <c r="N66" i="24"/>
  <c r="Q66" i="24" s="1"/>
  <c r="N75" i="24"/>
  <c r="Q75" i="24" s="1"/>
  <c r="N84" i="24"/>
  <c r="Q84" i="24" s="1"/>
  <c r="N93" i="24"/>
  <c r="Q93" i="24" s="1"/>
  <c r="N44" i="24"/>
  <c r="Q44" i="24" s="1"/>
  <c r="N53" i="24"/>
  <c r="Q53" i="24" s="1"/>
  <c r="N51" i="24"/>
  <c r="Q51" i="24" s="1"/>
  <c r="N60" i="24"/>
  <c r="Q60" i="24" s="1"/>
  <c r="N69" i="24"/>
  <c r="Q69" i="24" s="1"/>
  <c r="N78" i="24"/>
  <c r="Q78" i="24" s="1"/>
  <c r="N87" i="24"/>
  <c r="Q87" i="24" s="1"/>
  <c r="N96" i="24"/>
  <c r="Q96" i="24" s="1"/>
  <c r="N45" i="24"/>
  <c r="N41" i="24"/>
  <c r="N13" i="24"/>
  <c r="N3" i="24"/>
  <c r="T4" i="24"/>
  <c r="B17" i="27"/>
  <c r="B21" i="21"/>
  <c r="B18" i="27"/>
  <c r="B22" i="21"/>
  <c r="B16" i="27"/>
  <c r="B20" i="21"/>
  <c r="F20" i="27"/>
  <c r="F21" i="27"/>
  <c r="F19" i="27"/>
  <c r="T86" i="24"/>
  <c r="B25" i="22"/>
  <c r="B5" i="21" s="1"/>
  <c r="D14" i="13"/>
  <c r="N8" i="21"/>
  <c r="J4" i="21"/>
  <c r="D75" i="13" l="1"/>
  <c r="E75" i="13" s="1"/>
  <c r="T11" i="24"/>
  <c r="T85" i="24"/>
  <c r="D27" i="13"/>
  <c r="E27" i="13" s="1"/>
  <c r="D51" i="13"/>
  <c r="G51" i="13" s="1"/>
  <c r="T81" i="24"/>
  <c r="T45" i="24"/>
  <c r="D93" i="13"/>
  <c r="E93" i="13" s="1"/>
  <c r="T37" i="24"/>
  <c r="D80" i="13"/>
  <c r="E80" i="13" s="1"/>
  <c r="D62" i="13"/>
  <c r="G62" i="13" s="1"/>
  <c r="D2" i="13"/>
  <c r="E2" i="13" s="1"/>
  <c r="D56" i="13"/>
  <c r="E56" i="13" s="1"/>
  <c r="D61" i="13"/>
  <c r="E61" i="13" s="1"/>
  <c r="T33" i="24"/>
  <c r="T23" i="24"/>
  <c r="D96" i="13"/>
  <c r="E96" i="13" s="1"/>
  <c r="D90" i="13"/>
  <c r="E90" i="13" s="1"/>
  <c r="D8" i="13"/>
  <c r="G8" i="13" s="1"/>
  <c r="D68" i="13"/>
  <c r="E68" i="13" s="1"/>
  <c r="T96" i="24"/>
  <c r="T55" i="24"/>
  <c r="D67" i="13"/>
  <c r="E67" i="13" s="1"/>
  <c r="D22" i="13"/>
  <c r="G22" i="13" s="1"/>
  <c r="D72" i="13"/>
  <c r="G72" i="13" s="1"/>
  <c r="D46" i="13"/>
  <c r="G46" i="13" s="1"/>
  <c r="D63" i="13"/>
  <c r="G63" i="13" s="1"/>
  <c r="D18" i="13"/>
  <c r="G18" i="13" s="1"/>
  <c r="D23" i="13"/>
  <c r="E23" i="13" s="1"/>
  <c r="D20" i="13"/>
  <c r="G20" i="13" s="1"/>
  <c r="T72" i="24"/>
  <c r="T57" i="24"/>
  <c r="T24" i="24"/>
  <c r="T80" i="24"/>
  <c r="D60" i="13"/>
  <c r="G60" i="13" s="1"/>
  <c r="T91" i="24"/>
  <c r="T61" i="24"/>
  <c r="D97" i="13"/>
  <c r="G97" i="13" s="1"/>
  <c r="D89" i="13"/>
  <c r="E89" i="13" s="1"/>
  <c r="D53" i="13"/>
  <c r="G53" i="13" s="1"/>
  <c r="D52" i="13"/>
  <c r="E52" i="13" s="1"/>
  <c r="D13" i="13"/>
  <c r="G13" i="13" s="1"/>
  <c r="D70" i="13"/>
  <c r="E70" i="13" s="1"/>
  <c r="D54" i="13"/>
  <c r="G54" i="13" s="1"/>
  <c r="D73" i="13"/>
  <c r="E73" i="13" s="1"/>
  <c r="D81" i="13"/>
  <c r="G81" i="13" s="1"/>
  <c r="D71" i="13"/>
  <c r="E71" i="13" s="1"/>
  <c r="D37" i="13"/>
  <c r="G37" i="13" s="1"/>
  <c r="D85" i="13"/>
  <c r="E85" i="13" s="1"/>
  <c r="D39" i="13"/>
  <c r="G39" i="13" s="1"/>
  <c r="D41" i="13"/>
  <c r="E41" i="13" s="1"/>
  <c r="D17" i="13"/>
  <c r="G17" i="13" s="1"/>
  <c r="D50" i="13"/>
  <c r="E50" i="13" s="1"/>
  <c r="T32" i="24"/>
  <c r="D92" i="13"/>
  <c r="E92" i="13" s="1"/>
  <c r="Q54" i="24"/>
  <c r="B35" i="22"/>
  <c r="B6" i="27" s="1"/>
  <c r="B31" i="22"/>
  <c r="S54" i="24"/>
  <c r="T54" i="24" s="1"/>
  <c r="B1790" i="7"/>
  <c r="C1790" i="7" s="1"/>
  <c r="G11" i="13"/>
  <c r="E11" i="13"/>
  <c r="G30" i="13"/>
  <c r="E30" i="13"/>
  <c r="G69" i="13"/>
  <c r="E69" i="13"/>
  <c r="G86" i="13"/>
  <c r="E86" i="13"/>
  <c r="G94" i="13"/>
  <c r="E94" i="13"/>
  <c r="G79" i="13"/>
  <c r="E79" i="13"/>
  <c r="G25" i="13"/>
  <c r="E25" i="13"/>
  <c r="G43" i="13"/>
  <c r="E43" i="13"/>
  <c r="G61" i="13"/>
  <c r="G42" i="13"/>
  <c r="E42" i="13"/>
  <c r="G49" i="13"/>
  <c r="E49" i="13"/>
  <c r="F6" i="27"/>
  <c r="F5" i="27"/>
  <c r="F4" i="27"/>
  <c r="S2" i="24"/>
  <c r="G16" i="13"/>
  <c r="E16" i="13"/>
  <c r="G19" i="13"/>
  <c r="E19" i="13"/>
  <c r="E18" i="13"/>
  <c r="E51" i="13"/>
  <c r="G21" i="13"/>
  <c r="E21" i="13"/>
  <c r="G12" i="13"/>
  <c r="E12" i="13"/>
  <c r="G14" i="13"/>
  <c r="E14" i="13"/>
  <c r="G40" i="13"/>
  <c r="E40" i="13"/>
  <c r="G68" i="13"/>
  <c r="G75" i="13"/>
  <c r="G93" i="13" l="1"/>
  <c r="G80" i="13"/>
  <c r="G90" i="13"/>
  <c r="G2" i="13"/>
  <c r="H2" i="13" s="1"/>
  <c r="E97" i="13"/>
  <c r="G27" i="13"/>
  <c r="H27" i="13" s="1"/>
  <c r="E39" i="13"/>
  <c r="E22" i="13"/>
  <c r="G96" i="13"/>
  <c r="H96" i="13" s="1"/>
  <c r="G56" i="13"/>
  <c r="E62" i="13"/>
  <c r="E8" i="13"/>
  <c r="E72" i="13"/>
  <c r="G70" i="13"/>
  <c r="H70" i="13" s="1"/>
  <c r="G67" i="13"/>
  <c r="H67" i="13" s="1"/>
  <c r="E60" i="13"/>
  <c r="G23" i="13"/>
  <c r="H23" i="13" s="1"/>
  <c r="E63" i="13"/>
  <c r="G50" i="13"/>
  <c r="G73" i="13"/>
  <c r="H73" i="13" s="1"/>
  <c r="G85" i="13"/>
  <c r="H85" i="13" s="1"/>
  <c r="E20" i="13"/>
  <c r="E54" i="13"/>
  <c r="E46" i="13"/>
  <c r="E53" i="13"/>
  <c r="E13" i="13"/>
  <c r="E37" i="13"/>
  <c r="E81" i="13"/>
  <c r="E17" i="13"/>
  <c r="G52" i="13"/>
  <c r="H52" i="13" s="1"/>
  <c r="G41" i="13"/>
  <c r="H41" i="13" s="1"/>
  <c r="G71" i="13"/>
  <c r="H71" i="13" s="1"/>
  <c r="G89" i="13"/>
  <c r="H89" i="13" s="1"/>
  <c r="G92" i="13"/>
  <c r="H92" i="13" s="1"/>
  <c r="H75" i="13"/>
  <c r="H50" i="13"/>
  <c r="H68" i="13"/>
  <c r="H56" i="13"/>
  <c r="H40" i="13"/>
  <c r="H8" i="13"/>
  <c r="H14" i="13"/>
  <c r="H12" i="13"/>
  <c r="H21" i="13"/>
  <c r="H51" i="13"/>
  <c r="H18" i="13"/>
  <c r="H19" i="13"/>
  <c r="H16" i="13"/>
  <c r="T2" i="24"/>
  <c r="B27" i="22" s="1"/>
  <c r="B8" i="21" s="1"/>
  <c r="D95" i="13"/>
  <c r="H90" i="13"/>
  <c r="H49" i="13"/>
  <c r="H42" i="13"/>
  <c r="H62" i="13"/>
  <c r="H93" i="13"/>
  <c r="H53" i="13"/>
  <c r="H61" i="13"/>
  <c r="H72" i="13"/>
  <c r="H60" i="13"/>
  <c r="H39" i="13"/>
  <c r="H43" i="13"/>
  <c r="H13" i="13"/>
  <c r="H20" i="13"/>
  <c r="H97" i="13"/>
  <c r="H80" i="13"/>
  <c r="H54" i="13"/>
  <c r="H81" i="13"/>
  <c r="H25" i="13"/>
  <c r="H79" i="13"/>
  <c r="H37" i="13"/>
  <c r="H94" i="13"/>
  <c r="H63" i="13"/>
  <c r="H86" i="13"/>
  <c r="H17" i="13"/>
  <c r="H69" i="13"/>
  <c r="H30" i="13"/>
  <c r="H22" i="13"/>
  <c r="H46" i="13"/>
  <c r="H11" i="13"/>
  <c r="D3" i="13"/>
  <c r="D38" i="13"/>
  <c r="D88" i="13"/>
  <c r="D6" i="13"/>
  <c r="D74" i="13"/>
  <c r="D34" i="13"/>
  <c r="D26" i="13"/>
  <c r="D35" i="13"/>
  <c r="D59" i="13"/>
  <c r="D7" i="13"/>
  <c r="D57" i="13"/>
  <c r="D82" i="13"/>
  <c r="D9" i="13"/>
  <c r="D83" i="13"/>
  <c r="D78" i="13"/>
  <c r="D47" i="13"/>
  <c r="D48" i="13"/>
  <c r="D64" i="13"/>
  <c r="D66" i="13"/>
  <c r="D15" i="13"/>
  <c r="D55" i="13"/>
  <c r="D33" i="13"/>
  <c r="D44" i="13"/>
  <c r="D4" i="13"/>
  <c r="D84" i="13"/>
  <c r="D45" i="13"/>
  <c r="D77" i="13"/>
  <c r="D5" i="13"/>
  <c r="D29" i="13"/>
  <c r="D76" i="13"/>
  <c r="D65" i="13"/>
  <c r="D31" i="13"/>
  <c r="D87" i="13"/>
  <c r="D58" i="13"/>
  <c r="D10" i="13"/>
  <c r="D28" i="13"/>
  <c r="D91" i="13"/>
  <c r="D36" i="13"/>
  <c r="D24" i="13"/>
  <c r="D32" i="13"/>
  <c r="B4" i="27" l="1"/>
  <c r="A10" i="27" s="1"/>
  <c r="G32" i="13"/>
  <c r="H32" i="13" s="1"/>
  <c r="E32" i="13"/>
  <c r="E24" i="13"/>
  <c r="G24" i="13"/>
  <c r="G36" i="13"/>
  <c r="H36" i="13" s="1"/>
  <c r="E36" i="13"/>
  <c r="G91" i="13"/>
  <c r="H91" i="13" s="1"/>
  <c r="E91" i="13"/>
  <c r="G28" i="13"/>
  <c r="H28" i="13" s="1"/>
  <c r="E28" i="13"/>
  <c r="G10" i="13"/>
  <c r="H10" i="13" s="1"/>
  <c r="E10" i="13"/>
  <c r="G58" i="13"/>
  <c r="E58" i="13"/>
  <c r="G87" i="13"/>
  <c r="E87" i="13"/>
  <c r="E31" i="13"/>
  <c r="G31" i="13"/>
  <c r="G65" i="13"/>
  <c r="E65" i="13"/>
  <c r="G76" i="13"/>
  <c r="E76" i="13"/>
  <c r="G29" i="13"/>
  <c r="E29" i="13"/>
  <c r="G5" i="13"/>
  <c r="H5" i="13" s="1"/>
  <c r="E5" i="13"/>
  <c r="G77" i="13"/>
  <c r="E77" i="13"/>
  <c r="G45" i="13"/>
  <c r="E45" i="13"/>
  <c r="G84" i="13"/>
  <c r="E84" i="13"/>
  <c r="G4" i="13"/>
  <c r="H4" i="13" s="1"/>
  <c r="E4" i="13"/>
  <c r="G44" i="13"/>
  <c r="H44" i="13" s="1"/>
  <c r="E44" i="13"/>
  <c r="E33" i="13"/>
  <c r="G33" i="13"/>
  <c r="G55" i="13"/>
  <c r="H55" i="13" s="1"/>
  <c r="E55" i="13"/>
  <c r="E15" i="13"/>
  <c r="G15" i="13"/>
  <c r="H15" i="13" s="1"/>
  <c r="G66" i="13"/>
  <c r="H66" i="13" s="1"/>
  <c r="E66" i="13"/>
  <c r="G64" i="13"/>
  <c r="H64" i="13" s="1"/>
  <c r="E64" i="13"/>
  <c r="E48" i="13"/>
  <c r="G48" i="13"/>
  <c r="G47" i="13"/>
  <c r="H47" i="13" s="1"/>
  <c r="E47" i="13"/>
  <c r="E78" i="13"/>
  <c r="G78" i="13"/>
  <c r="H78" i="13" s="1"/>
  <c r="G83" i="13"/>
  <c r="H83" i="13" s="1"/>
  <c r="E83" i="13"/>
  <c r="G9" i="13"/>
  <c r="E9" i="13"/>
  <c r="E82" i="13"/>
  <c r="G82" i="13"/>
  <c r="G57" i="13"/>
  <c r="E57" i="13"/>
  <c r="E7" i="13"/>
  <c r="G7" i="13"/>
  <c r="H7" i="13" s="1"/>
  <c r="G59" i="13"/>
  <c r="E59" i="13"/>
  <c r="E35" i="13"/>
  <c r="G35" i="13"/>
  <c r="H35" i="13" s="1"/>
  <c r="G26" i="13"/>
  <c r="H26" i="13" s="1"/>
  <c r="E26" i="13"/>
  <c r="G34" i="13"/>
  <c r="E34" i="13"/>
  <c r="G74" i="13"/>
  <c r="E74" i="13"/>
  <c r="G6" i="13"/>
  <c r="H6" i="13" s="1"/>
  <c r="E6" i="13"/>
  <c r="G88" i="13"/>
  <c r="H88" i="13" s="1"/>
  <c r="E88" i="13"/>
  <c r="E38" i="13"/>
  <c r="G38" i="13"/>
  <c r="H38" i="13" s="1"/>
  <c r="G3" i="13"/>
  <c r="H3" i="13" s="1"/>
  <c r="E3" i="13"/>
  <c r="H77" i="13"/>
  <c r="G95" i="13"/>
  <c r="E95" i="13"/>
  <c r="H74" i="13" l="1"/>
  <c r="H34" i="13"/>
  <c r="H59" i="13"/>
  <c r="H57" i="13"/>
  <c r="H82" i="13"/>
  <c r="H9" i="13"/>
  <c r="H48" i="13"/>
  <c r="H33" i="13"/>
  <c r="H84" i="13"/>
  <c r="H45" i="13"/>
  <c r="H29" i="13"/>
  <c r="H76" i="13"/>
  <c r="H65" i="13"/>
  <c r="H31" i="13"/>
  <c r="H87" i="13"/>
  <c r="H58" i="13"/>
  <c r="H24" i="13"/>
  <c r="H95" i="13"/>
  <c r="I39" i="13"/>
  <c r="I53" i="13"/>
  <c r="I43" i="13"/>
  <c r="I46" i="13"/>
  <c r="I17" i="13"/>
  <c r="I72" i="13"/>
  <c r="I81" i="13"/>
  <c r="J11" i="21"/>
  <c r="S4" i="21"/>
  <c r="P4" i="21"/>
  <c r="T11" i="21"/>
  <c r="P8" i="21"/>
  <c r="J8" i="21"/>
  <c r="K7" i="21"/>
  <c r="K5" i="21"/>
  <c r="M7" i="21"/>
  <c r="N10" i="21"/>
  <c r="K8" i="21"/>
  <c r="S8" i="21"/>
  <c r="I94" i="13"/>
  <c r="I35" i="13"/>
  <c r="I19" i="13"/>
  <c r="I56" i="13"/>
  <c r="I11" i="13"/>
  <c r="I54" i="13"/>
  <c r="I89" i="13"/>
  <c r="I67" i="13"/>
  <c r="P10" i="21"/>
  <c r="N6" i="21"/>
  <c r="Q10" i="21"/>
  <c r="T8" i="21"/>
  <c r="N7" i="21"/>
  <c r="N4" i="21"/>
  <c r="P17" i="21"/>
  <c r="Q5" i="21"/>
  <c r="T24" i="21"/>
  <c r="O5" i="21"/>
  <c r="J24" i="21"/>
  <c r="P5" i="21"/>
  <c r="O11" i="21"/>
  <c r="S17" i="21"/>
  <c r="U7" i="21"/>
  <c r="J17" i="21"/>
  <c r="N21" i="21"/>
  <c r="I93" i="13"/>
  <c r="U20" i="21"/>
  <c r="P18" i="21"/>
  <c r="I10" i="13"/>
  <c r="I83" i="13"/>
  <c r="I5" i="13"/>
  <c r="I4" i="13"/>
  <c r="I64" i="13"/>
  <c r="I87" i="13"/>
  <c r="I49" i="13"/>
  <c r="I2" i="13"/>
  <c r="I61" i="13"/>
  <c r="I40" i="13"/>
  <c r="I63" i="13"/>
  <c r="I22" i="13"/>
  <c r="T6" i="21"/>
  <c r="R9" i="21"/>
  <c r="L9" i="21"/>
  <c r="U5" i="21"/>
  <c r="P21" i="21"/>
  <c r="S10" i="21"/>
  <c r="P9" i="21"/>
  <c r="O8" i="21"/>
  <c r="P7" i="21"/>
  <c r="M5" i="21"/>
  <c r="K21" i="21"/>
  <c r="K4" i="21"/>
  <c r="S11" i="21"/>
  <c r="M20" i="21"/>
  <c r="I3" i="13"/>
  <c r="I38" i="13"/>
  <c r="I8" i="13"/>
  <c r="I70" i="13"/>
  <c r="I51" i="13"/>
  <c r="I23" i="13"/>
  <c r="I73" i="13"/>
  <c r="I90" i="13"/>
  <c r="N5" i="21"/>
  <c r="L8" i="21"/>
  <c r="L11" i="21"/>
  <c r="L6" i="21"/>
  <c r="L7" i="21"/>
  <c r="J6" i="21"/>
  <c r="Q6" i="21"/>
  <c r="R22" i="21"/>
  <c r="O9" i="21"/>
  <c r="T9" i="21"/>
  <c r="S7" i="21"/>
  <c r="T19" i="21"/>
  <c r="N11" i="21"/>
  <c r="N24" i="21"/>
  <c r="Q18" i="21"/>
  <c r="I55" i="13"/>
  <c r="I47" i="13"/>
  <c r="I26" i="13"/>
  <c r="I91" i="13"/>
  <c r="I44" i="13"/>
  <c r="I29" i="13"/>
  <c r="I33" i="13"/>
  <c r="I58" i="13"/>
  <c r="I48" i="13"/>
  <c r="I24" i="13"/>
  <c r="I9" i="13"/>
  <c r="I31" i="13"/>
  <c r="I82" i="13"/>
  <c r="T22" i="21"/>
  <c r="I16" i="13"/>
  <c r="I62" i="13"/>
  <c r="I20" i="13"/>
  <c r="I75" i="13"/>
  <c r="I42" i="13"/>
  <c r="I69" i="13"/>
  <c r="S6" i="21"/>
  <c r="M8" i="21"/>
  <c r="T5" i="21"/>
  <c r="O4" i="21"/>
  <c r="R5" i="21"/>
  <c r="J9" i="21"/>
  <c r="S5" i="21"/>
  <c r="R6" i="21"/>
  <c r="M9" i="21"/>
  <c r="R11" i="21"/>
  <c r="U9" i="21"/>
  <c r="U6" i="21"/>
  <c r="N23" i="21"/>
  <c r="I60" i="13"/>
  <c r="S21" i="21"/>
  <c r="I88" i="13"/>
  <c r="I7" i="13"/>
  <c r="I25" i="13"/>
  <c r="I71" i="13"/>
  <c r="I14" i="13"/>
  <c r="I41" i="13"/>
  <c r="I21" i="13"/>
  <c r="I37" i="13"/>
  <c r="K9" i="21"/>
  <c r="U10" i="21"/>
  <c r="R10" i="21"/>
  <c r="P23" i="21"/>
  <c r="R4" i="21"/>
  <c r="T7" i="21"/>
  <c r="K6" i="21"/>
  <c r="Q11" i="21"/>
  <c r="S19" i="21"/>
  <c r="O7" i="21"/>
  <c r="O10" i="21"/>
  <c r="K20" i="21"/>
  <c r="T10" i="21"/>
  <c r="P6" i="21"/>
  <c r="N19" i="21"/>
  <c r="M10" i="21"/>
  <c r="T20" i="21"/>
  <c r="M23" i="21"/>
  <c r="O24" i="21"/>
  <c r="K18" i="21"/>
  <c r="O17" i="21"/>
  <c r="I78" i="13"/>
  <c r="I36" i="13"/>
  <c r="I77" i="13"/>
  <c r="I15" i="13"/>
  <c r="I59" i="13"/>
  <c r="I52" i="13"/>
  <c r="I79" i="13"/>
  <c r="I12" i="13"/>
  <c r="I92" i="13"/>
  <c r="I18" i="13"/>
  <c r="I80" i="13"/>
  <c r="U8" i="21"/>
  <c r="T4" i="21"/>
  <c r="Q8" i="21"/>
  <c r="J10" i="21"/>
  <c r="R7" i="21"/>
  <c r="R8" i="21"/>
  <c r="Q4" i="21"/>
  <c r="J7" i="21"/>
  <c r="R21" i="21"/>
  <c r="O6" i="21"/>
  <c r="M4" i="21"/>
  <c r="M11" i="21"/>
  <c r="Q17" i="21"/>
  <c r="Q7" i="21"/>
  <c r="S9" i="21"/>
  <c r="I96" i="13"/>
  <c r="I97" i="13"/>
  <c r="U19" i="21"/>
  <c r="M22" i="21"/>
  <c r="R18" i="21"/>
  <c r="I66" i="13"/>
  <c r="I68" i="13"/>
  <c r="I27" i="13"/>
  <c r="I86" i="13"/>
  <c r="I13" i="13"/>
  <c r="I30" i="13"/>
  <c r="I50" i="13"/>
  <c r="I85" i="13"/>
  <c r="U11" i="21"/>
  <c r="M6" i="21"/>
  <c r="P11" i="21"/>
  <c r="P24" i="21"/>
  <c r="K10" i="21"/>
  <c r="L4" i="21"/>
  <c r="Q9" i="21"/>
  <c r="K11" i="21"/>
  <c r="U18" i="21"/>
  <c r="N9" i="21"/>
  <c r="O22" i="21"/>
  <c r="L10" i="21"/>
  <c r="L5" i="21"/>
  <c r="N20" i="21"/>
  <c r="S23" i="21"/>
  <c r="U4" i="21"/>
  <c r="J5" i="21"/>
  <c r="N17" i="21"/>
  <c r="T18" i="21"/>
  <c r="J18" i="21"/>
  <c r="M24" i="21"/>
  <c r="O21" i="21"/>
  <c r="J21" i="21"/>
  <c r="M19" i="21"/>
  <c r="I32" i="13"/>
  <c r="I6" i="13"/>
  <c r="U17" i="21"/>
  <c r="I28" i="13"/>
  <c r="K17" i="21"/>
  <c r="I57" i="13"/>
  <c r="I76" i="13"/>
  <c r="I74" i="13"/>
  <c r="I65" i="13"/>
  <c r="I34" i="13"/>
  <c r="I45" i="13"/>
  <c r="I95" i="13"/>
  <c r="I84" i="13"/>
  <c r="Q22" i="21"/>
  <c r="L24" i="21"/>
  <c r="K19" i="21"/>
  <c r="U23" i="21"/>
  <c r="K24" i="21"/>
  <c r="L19" i="21"/>
  <c r="O18" i="21"/>
  <c r="Q23" i="21"/>
  <c r="N22" i="21"/>
  <c r="L17" i="21"/>
  <c r="T23" i="21"/>
  <c r="T21" i="21"/>
  <c r="L23" i="21"/>
  <c r="J19" i="21"/>
  <c r="N18" i="21"/>
  <c r="R17" i="21"/>
  <c r="K22" i="21"/>
  <c r="Q20" i="21"/>
  <c r="O19" i="21"/>
  <c r="J23" i="21"/>
  <c r="U21" i="21"/>
  <c r="Q19" i="21"/>
  <c r="L21" i="21"/>
  <c r="M18" i="21"/>
  <c r="P22" i="21"/>
  <c r="M17" i="21"/>
  <c r="R20" i="21"/>
  <c r="T17" i="21"/>
  <c r="S20" i="21"/>
  <c r="L20" i="21"/>
  <c r="S24" i="21"/>
  <c r="P20" i="21"/>
  <c r="L22" i="21"/>
  <c r="L18" i="21"/>
  <c r="K23" i="21"/>
  <c r="U24" i="21"/>
  <c r="S22" i="21"/>
  <c r="J20" i="21"/>
  <c r="Q21" i="21"/>
  <c r="P19" i="21"/>
  <c r="O23" i="21"/>
  <c r="O20" i="21"/>
  <c r="Q24" i="21"/>
  <c r="R23" i="21"/>
  <c r="U22" i="21"/>
  <c r="R24" i="21"/>
  <c r="R19" i="21"/>
  <c r="S18" i="21"/>
  <c r="J22" i="21"/>
  <c r="M21" i="21"/>
</calcChain>
</file>

<file path=xl/sharedStrings.xml><?xml version="1.0" encoding="utf-8"?>
<sst xmlns="http://schemas.openxmlformats.org/spreadsheetml/2006/main" count="2317" uniqueCount="391">
  <si>
    <t>Well</t>
  </si>
  <si>
    <t>Fluor</t>
  </si>
  <si>
    <t>A01</t>
  </si>
  <si>
    <t>FAM</t>
  </si>
  <si>
    <t>HEX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</si>
  <si>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</si>
  <si>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</si>
  <si>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</si>
  <si>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</si>
  <si>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</si>
  <si>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</si>
  <si>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</si>
  <si>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</si>
  <si>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</si>
  <si>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</si>
  <si>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</si>
  <si>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</si>
  <si>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</si>
  <si>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</si>
  <si>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</si>
  <si>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</si>
  <si>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</si>
  <si>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</si>
  <si>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</si>
  <si>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</si>
  <si>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</si>
  <si>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</si>
  <si>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</si>
  <si>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</si>
  <si>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</si>
  <si>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</si>
  <si>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</si>
  <si>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</si>
  <si>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</si>
  <si>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</si>
  <si>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</si>
  <si>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</si>
  <si>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</si>
  <si>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</si>
  <si>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</si>
  <si>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</si>
  <si>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</si>
  <si>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</si>
  <si>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</si>
  <si>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</si>
  <si>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</si>
  <si>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</si>
  <si>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</si>
  <si>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</si>
  <si>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</si>
  <si>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</si>
  <si>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</si>
  <si>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</si>
  <si>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</si>
  <si>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</si>
  <si>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</si>
  <si>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</si>
  <si>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</si>
  <si>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</si>
  <si>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</si>
  <si>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</si>
  <si>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</si>
  <si>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</si>
  <si>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</si>
  <si>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</si>
  <si>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</si>
  <si>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</si>
  <si>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</si>
  <si>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</si>
  <si>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</si>
  <si>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</si>
  <si>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</si>
  <si>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</si>
  <si>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</si>
  <si>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</si>
  <si>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</si>
  <si>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target 1 (orf1ab)</t>
  </si>
  <si>
    <t>+</t>
  </si>
  <si>
    <t>positivo</t>
  </si>
  <si>
    <t>-</t>
  </si>
  <si>
    <t>negativo</t>
  </si>
  <si>
    <t>dubbio tecnico</t>
  </si>
  <si>
    <t>RISULTATO FINALE</t>
  </si>
  <si>
    <t>NTC</t>
  </si>
  <si>
    <t>8 possibilità</t>
  </si>
  <si>
    <t>Cy5</t>
  </si>
  <si>
    <t>target 2 (gene E)</t>
  </si>
  <si>
    <t>T2T1C</t>
  </si>
  <si>
    <t>Bosphore Detection Kit V2</t>
  </si>
  <si>
    <t>ppp</t>
  </si>
  <si>
    <t>ppn</t>
  </si>
  <si>
    <t>npp</t>
  </si>
  <si>
    <t>npn</t>
  </si>
  <si>
    <t>pnp</t>
  </si>
  <si>
    <t>nnp</t>
  </si>
  <si>
    <t>pnn</t>
  </si>
  <si>
    <t>nnn</t>
  </si>
  <si>
    <t>Disegno 8 campioni prova per testare le combinazioni</t>
  </si>
  <si>
    <t xml:space="preserve">target 2 &lt;=35; target 1 &lt;=35; controllo &lt;=32 </t>
  </si>
  <si>
    <t>Disegno piastre</t>
  </si>
  <si>
    <t>bianchi</t>
  </si>
  <si>
    <t>POSITIVO KIT</t>
  </si>
  <si>
    <t>H1</t>
  </si>
  <si>
    <t>BE</t>
  </si>
  <si>
    <t>bianco di estrazione</t>
  </si>
  <si>
    <t>controllo (IC)</t>
  </si>
  <si>
    <t>PK</t>
  </si>
  <si>
    <t>A1/A5/A8/A12</t>
  </si>
  <si>
    <t>A2</t>
  </si>
  <si>
    <t>RISULTATO</t>
  </si>
  <si>
    <t>RISULTATO MINISTERO</t>
  </si>
  <si>
    <t>Campioni da riestrarre</t>
  </si>
  <si>
    <t>PCR da ripetere (plate)</t>
  </si>
  <si>
    <t>PCR da ripetere (campione)</t>
  </si>
  <si>
    <t>PCR da ripetere (pozzetto)</t>
  </si>
  <si>
    <t>Referto</t>
  </si>
  <si>
    <t>Barcode</t>
  </si>
  <si>
    <t>Plate</t>
  </si>
  <si>
    <t>real time Batch#:</t>
  </si>
  <si>
    <t>effettuata da:</t>
  </si>
  <si>
    <t>Kit utilizzato:</t>
  </si>
  <si>
    <t>Numero macchina PCR</t>
  </si>
  <si>
    <t>A</t>
  </si>
  <si>
    <t>B</t>
  </si>
  <si>
    <t>C</t>
  </si>
  <si>
    <t>D</t>
  </si>
  <si>
    <t>E</t>
  </si>
  <si>
    <t>F</t>
  </si>
  <si>
    <t>G</t>
  </si>
  <si>
    <t>H</t>
  </si>
  <si>
    <t>Target</t>
  </si>
  <si>
    <t>Content</t>
  </si>
  <si>
    <t>Sample</t>
  </si>
  <si>
    <t>Cq</t>
  </si>
  <si>
    <t>Cq Mean</t>
  </si>
  <si>
    <t>Cq Std. Dev</t>
  </si>
  <si>
    <t>Unkn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</si>
  <si>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</si>
  <si>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</si>
  <si>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</si>
  <si>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</si>
  <si>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</si>
  <si>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</si>
  <si>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</si>
  <si>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</si>
  <si>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</si>
  <si>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</si>
  <si>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</si>
  <si>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</si>
  <si>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</si>
  <si>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</si>
  <si>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</si>
  <si>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</si>
  <si>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</si>
  <si>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</si>
  <si>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</si>
  <si>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</si>
  <si>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</si>
  <si>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</si>
  <si>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</si>
  <si>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</si>
  <si>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Copiare qui l'intero contenuto dalla tab "Quantification" del software BioRad</t>
  </si>
  <si>
    <t>L'ordine dei dati non è più importante</t>
  </si>
  <si>
    <t>ID</t>
  </si>
  <si>
    <t>Nota Referto</t>
  </si>
  <si>
    <t>Pozz.</t>
  </si>
  <si>
    <t>Nota</t>
  </si>
  <si>
    <t>Esame</t>
  </si>
  <si>
    <t>DNLab</t>
  </si>
  <si>
    <t>Struttura plate</t>
  </si>
  <si>
    <t>CONTROLLI</t>
  </si>
  <si>
    <t>Verifica dati plate</t>
  </si>
  <si>
    <t>Intestazione</t>
  </si>
  <si>
    <t>Verifica dati biorad</t>
  </si>
  <si>
    <t>Nome foglio</t>
  </si>
  <si>
    <t>INFORMAZIONI FOGLIO</t>
  </si>
  <si>
    <t>Apri file collegati</t>
  </si>
  <si>
    <t>VERIFICA FINALE INPUT</t>
  </si>
  <si>
    <t>Corrispondenza plate con nome file</t>
  </si>
  <si>
    <t>Validità nome plate</t>
  </si>
  <si>
    <t>Risultati possibili referto</t>
  </si>
  <si>
    <t>CORRETTO</t>
  </si>
  <si>
    <t>RIPETERE ESTRAZIONE</t>
  </si>
  <si>
    <t>RIPETERE PCR</t>
  </si>
  <si>
    <t>RIPETERE TAMPONE</t>
  </si>
  <si>
    <t>Id referto</t>
  </si>
  <si>
    <t>Tamponi da ripetere (barcode)</t>
  </si>
  <si>
    <t>Campioni da riestrarre (batch)</t>
  </si>
  <si>
    <t>Tamponi da ripetere (batch)</t>
  </si>
  <si>
    <t>Cycle</t>
  </si>
  <si>
    <t>A1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</si>
  <si>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</si>
  <si>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</si>
  <si>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</si>
  <si>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</si>
  <si>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</si>
  <si>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</si>
  <si>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</si>
  <si>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</si>
  <si>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</si>
  <si>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</si>
  <si>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</si>
  <si>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</si>
  <si>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</si>
  <si>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</si>
  <si>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</si>
  <si>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</si>
  <si>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</si>
  <si>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</si>
  <si>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</si>
  <si>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</si>
  <si>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</si>
  <si>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</si>
  <si>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</si>
  <si>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</si>
  <si>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</si>
  <si>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</si>
  <si>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</si>
  <si>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</si>
  <si>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</si>
  <si>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</si>
  <si>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</si>
  <si>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</si>
  <si>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</si>
  <si>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</si>
  <si>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</si>
  <si>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</si>
  <si>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</si>
  <si>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</si>
  <si>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</si>
  <si>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</si>
  <si>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</si>
  <si>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</si>
  <si>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</si>
  <si>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</si>
  <si>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</si>
  <si>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</si>
  <si>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</si>
  <si>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</si>
  <si>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</si>
  <si>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</si>
  <si>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</si>
  <si>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</si>
  <si>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</si>
  <si>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</si>
  <si>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</si>
  <si>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</si>
  <si>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</si>
  <si>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</si>
  <si>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</si>
  <si>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</si>
  <si>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</si>
  <si>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H2</t>
  </si>
  <si>
    <t>H3</t>
  </si>
  <si>
    <t>H4</t>
  </si>
  <si>
    <t>H5</t>
  </si>
  <si>
    <t>H6</t>
  </si>
  <si>
    <t>H7</t>
  </si>
  <si>
    <t>H8</t>
  </si>
  <si>
    <t>H9</t>
  </si>
  <si>
    <t>Logarithmic</t>
  </si>
  <si>
    <t>Current data</t>
  </si>
  <si>
    <t>Current transformed data</t>
  </si>
  <si>
    <t>Pozzetto</t>
  </si>
  <si>
    <t>Informazioni correnti</t>
  </si>
  <si>
    <t>Risultato automatico</t>
  </si>
  <si>
    <t>User Selected well</t>
  </si>
  <si>
    <t>Plotting informations</t>
  </si>
  <si>
    <t>Row numeric</t>
  </si>
  <si>
    <t>Row textual</t>
  </si>
  <si>
    <t>Column</t>
  </si>
  <si>
    <t>Well with zero</t>
  </si>
  <si>
    <t>Current cell</t>
  </si>
  <si>
    <t>Current cell info</t>
  </si>
  <si>
    <t>Current cell checks</t>
  </si>
  <si>
    <t>Combined check</t>
  </si>
  <si>
    <t>Is control well</t>
  </si>
  <si>
    <t>OK</t>
  </si>
  <si>
    <t>Automatic result</t>
  </si>
  <si>
    <t>Check result</t>
  </si>
  <si>
    <t>Test result</t>
  </si>
  <si>
    <t>Control well type</t>
  </si>
  <si>
    <t>Control well</t>
  </si>
  <si>
    <t>Ok result</t>
  </si>
  <si>
    <t>Well coord</t>
  </si>
  <si>
    <t>Control type</t>
  </si>
  <si>
    <t>Fluorophore</t>
  </si>
  <si>
    <t>Thresholds</t>
  </si>
  <si>
    <t>Test results</t>
  </si>
  <si>
    <t>POSITIVO</t>
  </si>
  <si>
    <t>NEGATIVO</t>
  </si>
  <si>
    <t>DUBBIO TECNICO</t>
  </si>
  <si>
    <t>Ctrl threshold</t>
  </si>
  <si>
    <t>Gene threshold</t>
  </si>
  <si>
    <t>gene threshold transformed</t>
  </si>
  <si>
    <t>ctrl threshold transformed</t>
  </si>
  <si>
    <t>?</t>
  </si>
  <si>
    <t>barcode</t>
  </si>
  <si>
    <t>cy5_cq</t>
  </si>
  <si>
    <t>hex_cq</t>
  </si>
  <si>
    <t>fam_cq</t>
  </si>
  <si>
    <t>is_control</t>
  </si>
  <si>
    <t>control_type</t>
  </si>
  <si>
    <t>well_no_zero</t>
  </si>
  <si>
    <t>well_with_zero</t>
  </si>
  <si>
    <t>cq_tests</t>
  </si>
  <si>
    <t>test_symbol</t>
  </si>
  <si>
    <t>Symbol</t>
  </si>
  <si>
    <t>NO</t>
  </si>
  <si>
    <t>test_result_auto</t>
  </si>
  <si>
    <t>test_symbol_auto</t>
  </si>
  <si>
    <t>Pozzetto controllo</t>
  </si>
  <si>
    <t>test_status</t>
  </si>
  <si>
    <t>Auto result</t>
  </si>
  <si>
    <t>User result</t>
  </si>
  <si>
    <t>FORZA NEGATIVO</t>
  </si>
  <si>
    <t>Assegna risultato:</t>
  </si>
  <si>
    <t>is_well_empy</t>
  </si>
  <si>
    <t>ResultAuto</t>
  </si>
  <si>
    <t>ResultUser</t>
  </si>
  <si>
    <t>P</t>
  </si>
  <si>
    <t>T</t>
  </si>
  <si>
    <t>+!</t>
  </si>
  <si>
    <t>-!</t>
  </si>
  <si>
    <t>N/A</t>
  </si>
  <si>
    <t>Referti</t>
  </si>
  <si>
    <t>Scorri campioni</t>
  </si>
  <si>
    <t>batch</t>
  </si>
  <si>
    <t>plate</t>
  </si>
  <si>
    <t>user_result</t>
  </si>
  <si>
    <t>final_result</t>
  </si>
  <si>
    <t>Final result</t>
  </si>
  <si>
    <t>NON REFERTARE</t>
  </si>
  <si>
    <t>To send</t>
  </si>
  <si>
    <t>to_send</t>
  </si>
  <si>
    <t>Rilevati gene RdRP e gene-E</t>
  </si>
  <si>
    <t>Rilevato gene RdRP</t>
  </si>
  <si>
    <t>ERR</t>
  </si>
  <si>
    <t>Necessario controllo manuale</t>
  </si>
  <si>
    <t>Exam result</t>
  </si>
  <si>
    <t>User message</t>
  </si>
  <si>
    <t>Ministry result</t>
  </si>
  <si>
    <t>NRI</t>
  </si>
  <si>
    <t>Statistics</t>
  </si>
  <si>
    <t>To check wells</t>
  </si>
  <si>
    <t>Checked wells</t>
  </si>
  <si>
    <t>Filled wells</t>
  </si>
  <si>
    <t>Control wells</t>
  </si>
  <si>
    <t>Controlli input</t>
  </si>
  <si>
    <t>Refertazione completa</t>
  </si>
  <si>
    <t>VERIFICA FINALE ANALISI</t>
  </si>
  <si>
    <t>Control wells ok</t>
  </si>
  <si>
    <t>Pozzetti di controllo ok</t>
  </si>
  <si>
    <t>N. refertati</t>
  </si>
  <si>
    <t>N. da refertare:</t>
  </si>
  <si>
    <t>N. pozzetti pieni</t>
  </si>
  <si>
    <t>Verifica curve biorad</t>
  </si>
  <si>
    <t>STATISTICHE</t>
  </si>
  <si>
    <t>Conteggi risultato finale</t>
  </si>
  <si>
    <t>Conteggi referto manuale</t>
  </si>
  <si>
    <t>Conteggi referto automatico</t>
  </si>
  <si>
    <t>Stato pozzetti</t>
  </si>
  <si>
    <t>Cq Cy5</t>
  </si>
  <si>
    <t>Cq FAM</t>
  </si>
  <si>
    <t>Cq HEX</t>
  </si>
  <si>
    <t>FORZA POSITIVO 1G</t>
  </si>
  <si>
    <t>FORZA POSITIVO 2G</t>
  </si>
  <si>
    <t>++!</t>
  </si>
  <si>
    <t>Exam result prefix</t>
  </si>
  <si>
    <t>pp</t>
  </si>
  <si>
    <t>np</t>
  </si>
  <si>
    <t>cq_test_final</t>
  </si>
  <si>
    <t>Risultato esame auto.</t>
  </si>
  <si>
    <t>Combined check final</t>
  </si>
  <si>
    <t>Is point above threshold</t>
  </si>
  <si>
    <t>Tabelle diverse</t>
  </si>
  <si>
    <t>KF PLATE Batch#:</t>
  </si>
  <si>
    <t>Batch</t>
  </si>
  <si>
    <t>FORZA OK</t>
  </si>
  <si>
    <t>Result auto</t>
  </si>
  <si>
    <t>Control result</t>
  </si>
  <si>
    <t>final_control_result</t>
  </si>
  <si>
    <t>Erroneous wells</t>
  </si>
  <si>
    <t>Verifica problemi</t>
  </si>
  <si>
    <t>Copiare qui le curve di amplificazione di FAM da BioRad</t>
  </si>
  <si>
    <t>Copiare qui le curve di amplificazione di HEX da BioRad</t>
  </si>
  <si>
    <t>Copiare qui le curve di amplificazione di Cy5 da BioRad</t>
  </si>
  <si>
    <t>Risultato esame utente</t>
  </si>
  <si>
    <t>kit_name</t>
  </si>
  <si>
    <t>realstar</t>
  </si>
  <si>
    <t>plate_version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</si>
</sst>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400]h:mm:ss\ AM/PM"/>
    <numFmt numFmtId="165" formatCode="0#######"/>
    <numFmt numFmtId="166" formatCode="###0.00;\-###0.00"/>
    <numFmt numFmtId="167" formatCode="###0.000;\-###0.000"/>
  </numFmts>
  <fonts count="29" x14ac:knownFonts="1">
    <font>
      <sz val="8.25"/>
      <name val="Microsoft Sans Serif"/>
      <charset val="1"/>
    </font>
    <font>
      <sz val="8.25"/>
      <name val="Microsoft Sans Serif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color theme="1"/>
      <name val="Times New Roman"/>
      <family val="1"/>
    </font>
    <font>
      <sz val="8.25"/>
      <color rgb="FFFF0000"/>
      <name val="Microsoft Sans Serif"/>
      <family val="2"/>
    </font>
    <font>
      <sz val="12"/>
      <name val="Microsoft Sans Serif"/>
      <family val="2"/>
    </font>
    <font>
      <sz val="14"/>
      <name val="Microsoft Sans Serif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Microsoft Sans Serif"/>
      <family val="2"/>
    </font>
    <font>
      <b/>
      <sz val="10"/>
      <name val="Microsoft Sans Serif"/>
      <family val="2"/>
    </font>
    <font>
      <sz val="44"/>
      <name val="Code 128"/>
    </font>
    <font>
      <sz val="28"/>
      <name val="Code 128"/>
    </font>
    <font>
      <sz val="10"/>
      <name val="Microsoft Sans Serif"/>
      <family val="2"/>
    </font>
    <font>
      <sz val="11"/>
      <name val="Microsoft Sans Serif"/>
      <family val="2"/>
    </font>
    <font>
      <sz val="8"/>
      <name val="Microsoft Sans Serif"/>
      <family val="2"/>
    </font>
    <font>
      <sz val="28"/>
      <name val="Microsoft Sans Serif"/>
      <family val="2"/>
    </font>
    <font>
      <b/>
      <sz val="15"/>
      <name val="Microsoft Sans Serif"/>
      <family val="2"/>
    </font>
    <font>
      <sz val="13"/>
      <name val="Microsoft Sans Serif"/>
      <family val="2"/>
    </font>
    <font>
      <u/>
      <sz val="8.25"/>
      <name val="Microsoft Sans Serif"/>
      <family val="2"/>
    </font>
    <font>
      <b/>
      <sz val="16"/>
      <color theme="0"/>
      <name val="Microsoft Sans Serif"/>
      <family val="2"/>
    </font>
    <font>
      <u/>
      <sz val="8.25"/>
      <color theme="10"/>
      <name val="Microsoft Sans Serif"/>
      <family val="2"/>
    </font>
    <font>
      <b/>
      <sz val="18"/>
      <color theme="0"/>
      <name val="Microsoft Sans Serif"/>
      <family val="2"/>
    </font>
    <font>
      <b/>
      <sz val="12"/>
      <name val="Microsoft Sans Serif"/>
      <family val="2"/>
    </font>
    <font>
      <sz val="8.25"/>
      <name val="Microsoft Sans Serif"/>
      <family val="2"/>
    </font>
    <font>
      <b/>
      <sz val="8.25"/>
      <name val="Microsoft Sans Serif"/>
      <family val="2"/>
    </font>
    <font>
      <b/>
      <sz val="14"/>
      <color theme="0"/>
      <name val="Microsoft Sans Serif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3DCE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rgb="FFFF00FF"/>
      </left>
      <right style="thick">
        <color rgb="FFFF00FF"/>
      </right>
      <top style="thick">
        <color rgb="FFFF00FF"/>
      </top>
      <bottom style="thick">
        <color rgb="FFFF00FF"/>
      </bottom>
      <diagonal/>
    </border>
  </borders>
  <cellStyleXfs count="2">
    <xf numFmtId="0" fontId="0" fillId="0" borderId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 applyFont="1" applyFill="1" applyBorder="1" applyAlignment="1" applyProtection="1">
      <alignment vertical="top"/>
      <protection locked="0"/>
    </xf>
    <xf numFmtId="49" fontId="4" fillId="3" borderId="0" xfId="0" applyNumberFormat="1" applyFont="1" applyFill="1" applyBorder="1" applyAlignment="1" applyProtection="1">
      <alignment horizontal="center" vertical="center" wrapText="1"/>
    </xf>
    <xf numFmtId="49" fontId="4" fillId="4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" fillId="2" borderId="0" xfId="0" applyFont="1" applyFill="1" applyAlignment="1">
      <alignment horizontal="center" vertical="center" wrapText="1"/>
      <protection locked="0"/>
    </xf>
    <xf numFmtId="49" fontId="1" fillId="0" borderId="0" xfId="0" applyNumberFormat="1" applyFont="1" applyAlignment="1" applyProtection="1">
      <alignment vertical="center"/>
    </xf>
    <xf numFmtId="0" fontId="0" fillId="0" borderId="0" xfId="0" applyFill="1" applyAlignment="1" applyProtection="1"/>
    <xf numFmtId="49" fontId="0" fillId="0" borderId="1" xfId="0" applyNumberFormat="1" applyFill="1" applyBorder="1" applyAlignment="1" applyProtection="1">
      <alignment horizontal="right"/>
    </xf>
    <xf numFmtId="49" fontId="0" fillId="0" borderId="15" xfId="0" applyNumberFormat="1" applyFill="1" applyBorder="1" applyAlignment="1" applyProtection="1">
      <alignment horizontal="right"/>
    </xf>
    <xf numFmtId="49" fontId="0" fillId="0" borderId="16" xfId="0" applyNumberFormat="1" applyFill="1" applyBorder="1" applyAlignment="1" applyProtection="1">
      <alignment horizontal="right"/>
    </xf>
    <xf numFmtId="0" fontId="0" fillId="11" borderId="0" xfId="0" applyFont="1" applyFill="1" applyBorder="1" applyAlignment="1" applyProtection="1">
      <alignment vertical="top"/>
      <protection locked="0"/>
    </xf>
    <xf numFmtId="0" fontId="0" fillId="0" borderId="0" xfId="0" applyFont="1" applyFill="1" applyBorder="1" applyAlignment="1" applyProtection="1">
      <alignment vertical="top"/>
    </xf>
    <xf numFmtId="0" fontId="0" fillId="0" borderId="0" xfId="0">
      <alignment vertical="top"/>
      <protection locked="0"/>
    </xf>
    <xf numFmtId="0" fontId="0" fillId="0" borderId="0" xfId="0" applyProtection="1">
      <alignment vertical="top"/>
    </xf>
    <xf numFmtId="0" fontId="1" fillId="0" borderId="0" xfId="0" applyFont="1" applyFill="1" applyBorder="1" applyAlignment="1" applyProtection="1">
      <alignment horizontal="right" vertical="top"/>
    </xf>
    <xf numFmtId="0" fontId="0" fillId="0" borderId="1" xfId="0" applyBorder="1" applyAlignment="1" applyProtection="1"/>
    <xf numFmtId="0" fontId="0" fillId="0" borderId="1" xfId="0" applyBorder="1" applyAlignment="1" applyProtection="1">
      <alignment horizontal="center"/>
    </xf>
    <xf numFmtId="0" fontId="8" fillId="0" borderId="1" xfId="0" applyFont="1" applyBorder="1" applyAlignment="1" applyProtection="1"/>
    <xf numFmtId="49" fontId="0" fillId="9" borderId="1" xfId="0" applyNumberFormat="1" applyFill="1" applyBorder="1" applyAlignment="1" applyProtection="1"/>
    <xf numFmtId="49" fontId="0" fillId="15" borderId="1" xfId="0" applyNumberFormat="1" applyFill="1" applyBorder="1" applyAlignment="1" applyProtection="1"/>
    <xf numFmtId="49" fontId="0" fillId="0" borderId="1" xfId="0" applyNumberFormat="1" applyBorder="1" applyAlignment="1" applyProtection="1">
      <alignment horizontal="right"/>
    </xf>
    <xf numFmtId="0" fontId="8" fillId="0" borderId="0" xfId="0" applyFont="1" applyAlignment="1" applyProtection="1"/>
    <xf numFmtId="166" fontId="1" fillId="0" borderId="0" xfId="0" applyNumberFormat="1" applyFont="1" applyAlignment="1" applyProtection="1">
      <alignment vertical="center"/>
    </xf>
    <xf numFmtId="167" fontId="1" fillId="0" borderId="0" xfId="0" applyNumberFormat="1" applyFont="1" applyAlignment="1" applyProtection="1">
      <alignment vertical="center"/>
    </xf>
    <xf numFmtId="0" fontId="25" fillId="0" borderId="0" xfId="0" applyFont="1" applyFill="1" applyBorder="1" applyAlignment="1" applyProtection="1">
      <alignment vertical="top"/>
      <protection locked="0"/>
    </xf>
    <xf numFmtId="0" fontId="0" fillId="0" borderId="0" xfId="0" quotePrefix="1" applyAlignment="1" applyProtection="1"/>
    <xf numFmtId="49" fontId="0" fillId="16" borderId="1" xfId="0" applyNumberFormat="1" applyFill="1" applyBorder="1" applyAlignment="1" applyProtection="1"/>
    <xf numFmtId="0" fontId="1" fillId="0" borderId="0" xfId="0" applyFont="1" applyFill="1" applyBorder="1" applyAlignment="1" applyProtection="1">
      <alignment vertical="top"/>
    </xf>
    <xf numFmtId="0" fontId="19" fillId="0" borderId="0" xfId="0" applyFont="1" applyProtection="1">
      <alignment vertical="top"/>
    </xf>
    <xf numFmtId="0" fontId="21" fillId="0" borderId="0" xfId="1" applyFill="1" applyBorder="1" applyAlignment="1" applyProtection="1">
      <alignment vertical="top"/>
    </xf>
    <xf numFmtId="0" fontId="1" fillId="0" borderId="0" xfId="0" applyFont="1" applyProtection="1">
      <alignment vertical="top"/>
    </xf>
    <xf numFmtId="0" fontId="19" fillId="0" borderId="0" xfId="0" applyFont="1" applyFill="1" applyBorder="1" applyAlignment="1" applyProtection="1">
      <alignment vertical="top"/>
    </xf>
    <xf numFmtId="0" fontId="25" fillId="0" borderId="0" xfId="0" applyFont="1" applyFill="1" applyBorder="1" applyAlignment="1" applyProtection="1">
      <alignment vertical="top"/>
    </xf>
    <xf numFmtId="0" fontId="10" fillId="0" borderId="0" xfId="0" applyFont="1" applyFill="1" applyBorder="1" applyAlignment="1" applyProtection="1">
      <alignment vertical="top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vertical="top"/>
    </xf>
    <xf numFmtId="0" fontId="24" fillId="0" borderId="0" xfId="0" applyFont="1" applyFill="1" applyBorder="1" applyAlignment="1" applyProtection="1">
      <alignment vertical="top"/>
    </xf>
    <xf numFmtId="0" fontId="0" fillId="0" borderId="0" xfId="0" applyNumberFormat="1" applyFont="1" applyFill="1" applyBorder="1" applyAlignment="1" applyProtection="1">
      <alignment vertical="top"/>
    </xf>
    <xf numFmtId="49" fontId="1" fillId="0" borderId="0" xfId="0" applyNumberFormat="1" applyFont="1" applyFill="1" applyBorder="1" applyAlignment="1" applyProtection="1">
      <alignment vertical="top"/>
    </xf>
    <xf numFmtId="49" fontId="0" fillId="0" borderId="0" xfId="0" applyNumberFormat="1" applyFont="1" applyFill="1" applyBorder="1" applyAlignment="1" applyProtection="1">
      <alignment vertical="top"/>
    </xf>
    <xf numFmtId="0" fontId="1" fillId="0" borderId="0" xfId="0" quotePrefix="1" applyFont="1" applyFill="1" applyBorder="1" applyAlignment="1" applyProtection="1">
      <alignment vertical="top"/>
    </xf>
    <xf numFmtId="0" fontId="0" fillId="0" borderId="0" xfId="0" applyFont="1" applyFill="1" applyBorder="1" applyAlignment="1" applyProtection="1">
      <alignment horizontal="center" vertical="top"/>
    </xf>
    <xf numFmtId="0" fontId="0" fillId="0" borderId="0" xfId="0" applyFont="1" applyFill="1" applyBorder="1" applyAlignment="1" applyProtection="1">
      <alignment horizontal="right" vertical="top"/>
    </xf>
    <xf numFmtId="0" fontId="23" fillId="6" borderId="0" xfId="0" applyFont="1" applyFill="1" applyBorder="1" applyAlignment="1" applyProtection="1">
      <alignment horizontal="center" vertical="center" wrapText="1"/>
    </xf>
    <xf numFmtId="0" fontId="23" fillId="7" borderId="0" xfId="0" applyFont="1" applyFill="1" applyBorder="1" applyAlignment="1" applyProtection="1">
      <alignment horizontal="center" vertical="center" wrapText="1"/>
    </xf>
    <xf numFmtId="0" fontId="23" fillId="8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vertical="top"/>
    </xf>
    <xf numFmtId="164" fontId="17" fillId="8" borderId="10" xfId="0" applyNumberFormat="1" applyFont="1" applyFill="1" applyBorder="1" applyAlignment="1" applyProtection="1">
      <alignment horizontal="center" vertical="center"/>
    </xf>
    <xf numFmtId="164" fontId="17" fillId="8" borderId="11" xfId="0" applyNumberFormat="1" applyFont="1" applyFill="1" applyBorder="1" applyAlignment="1" applyProtection="1">
      <alignment horizontal="center" vertical="center"/>
    </xf>
    <xf numFmtId="164" fontId="17" fillId="8" borderId="11" xfId="0" applyNumberFormat="1" applyFont="1" applyFill="1" applyBorder="1" applyAlignment="1" applyProtection="1">
      <alignment horizontal="center" vertical="center" wrapText="1"/>
    </xf>
    <xf numFmtId="164" fontId="17" fillId="8" borderId="19" xfId="0" applyNumberFormat="1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left" vertical="top"/>
    </xf>
    <xf numFmtId="0" fontId="18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horizontal="center" vertical="center"/>
    </xf>
    <xf numFmtId="0" fontId="13" fillId="0" borderId="1" xfId="0" applyNumberFormat="1" applyFont="1" applyFill="1" applyBorder="1" applyAlignment="1" applyProtection="1">
      <alignment horizontal="center" vertical="center" wrapText="1"/>
    </xf>
    <xf numFmtId="0" fontId="12" fillId="0" borderId="17" xfId="0" applyFont="1" applyFill="1" applyBorder="1" applyAlignment="1" applyProtection="1">
      <alignment vertical="center"/>
    </xf>
    <xf numFmtId="0" fontId="11" fillId="0" borderId="1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vertical="top"/>
    </xf>
    <xf numFmtId="0" fontId="15" fillId="0" borderId="13" xfId="0" applyFont="1" applyFill="1" applyBorder="1" applyAlignment="1" applyProtection="1">
      <alignment horizontal="center" vertical="center"/>
    </xf>
    <xf numFmtId="0" fontId="6" fillId="0" borderId="14" xfId="0" applyFont="1" applyFill="1" applyBorder="1" applyAlignment="1" applyProtection="1">
      <alignment horizontal="center" vertical="center"/>
    </xf>
    <xf numFmtId="0" fontId="14" fillId="0" borderId="14" xfId="0" applyFont="1" applyFill="1" applyBorder="1" applyAlignment="1" applyProtection="1">
      <alignment horizontal="center" vertical="center"/>
    </xf>
    <xf numFmtId="0" fontId="11" fillId="0" borderId="14" xfId="0" applyFont="1" applyFill="1" applyBorder="1" applyAlignment="1" applyProtection="1">
      <alignment horizontal="left" vertical="top"/>
    </xf>
    <xf numFmtId="0" fontId="18" fillId="0" borderId="14" xfId="0" applyFont="1" applyFill="1" applyBorder="1" applyAlignment="1" applyProtection="1">
      <alignment horizontal="center" vertical="center"/>
    </xf>
    <xf numFmtId="0" fontId="18" fillId="0" borderId="14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13" fillId="0" borderId="14" xfId="0" applyNumberFormat="1" applyFont="1" applyFill="1" applyBorder="1" applyAlignment="1" applyProtection="1">
      <alignment horizontal="center" vertical="center" wrapText="1"/>
    </xf>
    <xf numFmtId="0" fontId="12" fillId="0" borderId="18" xfId="0" applyFont="1" applyFill="1" applyBorder="1" applyAlignment="1" applyProtection="1">
      <alignment vertical="center"/>
    </xf>
    <xf numFmtId="0" fontId="0" fillId="0" borderId="0" xfId="0" applyFont="1" applyFill="1" applyBorder="1" applyAlignment="1" applyProtection="1">
      <alignment horizontal="left" vertical="top"/>
    </xf>
    <xf numFmtId="0" fontId="0" fillId="0" borderId="0" xfId="0" applyFont="1" applyFill="1" applyBorder="1" applyAlignment="1" applyProtection="1">
      <alignment vertical="top" wrapText="1"/>
    </xf>
    <xf numFmtId="0" fontId="7" fillId="0" borderId="0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top" wrapText="1"/>
    </xf>
    <xf numFmtId="0" fontId="16" fillId="0" borderId="0" xfId="0" applyFont="1" applyFill="1" applyBorder="1" applyAlignment="1" applyProtection="1">
      <alignment vertical="top"/>
    </xf>
    <xf numFmtId="0" fontId="0" fillId="4" borderId="0" xfId="0" applyFont="1" applyFill="1" applyBorder="1" applyAlignment="1" applyProtection="1">
      <alignment vertical="top"/>
    </xf>
    <xf numFmtId="49" fontId="4" fillId="5" borderId="0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Fill="1" applyAlignment="1" applyProtection="1">
      <alignment horizontal="center"/>
      <protection locked="0"/>
    </xf>
    <xf numFmtId="49" fontId="0" fillId="0" borderId="0" xfId="0" applyNumberFormat="1" applyAlignment="1" applyProtection="1">
      <protection locked="0"/>
    </xf>
    <xf numFmtId="0" fontId="3" fillId="0" borderId="0" xfId="0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0" xfId="0" applyFont="1" applyFill="1" applyBorder="1" applyAlignment="1" applyProtection="1">
      <alignment vertical="top"/>
    </xf>
    <xf numFmtId="0" fontId="2" fillId="3" borderId="0" xfId="0" applyFont="1" applyFill="1" applyBorder="1" applyAlignment="1" applyProtection="1">
      <alignment vertical="top"/>
    </xf>
    <xf numFmtId="0" fontId="2" fillId="4" borderId="0" xfId="0" applyFont="1" applyFill="1" applyBorder="1" applyAlignment="1" applyProtection="1">
      <alignment horizontal="center" vertical="top"/>
    </xf>
    <xf numFmtId="0" fontId="2" fillId="4" borderId="1" xfId="0" applyFont="1" applyFill="1" applyBorder="1" applyAlignment="1" applyProtection="1">
      <alignment horizontal="center" vertical="top"/>
    </xf>
    <xf numFmtId="0" fontId="2" fillId="0" borderId="1" xfId="0" applyFont="1" applyFill="1" applyBorder="1" applyAlignment="1" applyProtection="1">
      <alignment horizontal="center" vertical="top"/>
    </xf>
    <xf numFmtId="0" fontId="2" fillId="0" borderId="2" xfId="0" applyFont="1" applyFill="1" applyBorder="1" applyAlignment="1" applyProtection="1">
      <alignment vertical="top"/>
    </xf>
    <xf numFmtId="0" fontId="2" fillId="0" borderId="3" xfId="0" applyFont="1" applyFill="1" applyBorder="1" applyAlignment="1" applyProtection="1">
      <alignment horizontal="center" vertical="top"/>
    </xf>
    <xf numFmtId="0" fontId="2" fillId="0" borderId="4" xfId="0" applyFont="1" applyFill="1" applyBorder="1" applyAlignment="1" applyProtection="1">
      <alignment horizontal="center" vertical="top"/>
    </xf>
    <xf numFmtId="0" fontId="2" fillId="0" borderId="5" xfId="0" applyFont="1" applyFill="1" applyBorder="1" applyAlignment="1" applyProtection="1">
      <alignment vertical="top"/>
    </xf>
    <xf numFmtId="0" fontId="2" fillId="0" borderId="6" xfId="0" applyFont="1" applyFill="1" applyBorder="1" applyAlignment="1" applyProtection="1">
      <alignment horizontal="center" vertical="top"/>
    </xf>
    <xf numFmtId="0" fontId="2" fillId="0" borderId="7" xfId="0" applyFont="1" applyFill="1" applyBorder="1" applyAlignment="1" applyProtection="1">
      <alignment vertical="top"/>
    </xf>
    <xf numFmtId="0" fontId="2" fillId="0" borderId="8" xfId="0" applyFont="1" applyFill="1" applyBorder="1" applyAlignment="1" applyProtection="1">
      <alignment horizontal="center" vertical="top"/>
    </xf>
    <xf numFmtId="0" fontId="2" fillId="0" borderId="9" xfId="0" applyFont="1" applyFill="1" applyBorder="1" applyAlignment="1" applyProtection="1">
      <alignment horizontal="center" vertical="top"/>
    </xf>
    <xf numFmtId="0" fontId="0" fillId="0" borderId="0" xfId="0" applyNumberFormat="1" applyFont="1" applyFill="1" applyBorder="1" applyAlignment="1" applyProtection="1">
      <alignment vertical="top"/>
      <protection locked="0"/>
    </xf>
    <xf numFmtId="0" fontId="10" fillId="0" borderId="0" xfId="0" applyFont="1" applyFill="1" applyBorder="1" applyAlignment="1" applyProtection="1">
      <alignment horizontal="center" vertical="center"/>
    </xf>
    <xf numFmtId="0" fontId="28" fillId="0" borderId="0" xfId="0" applyFont="1" applyAlignment="1" applyProtection="1"/>
    <xf numFmtId="49" fontId="0" fillId="0" borderId="1" xfId="0" applyNumberFormat="1" applyFill="1" applyBorder="1" applyAlignment="1" applyProtection="1"/>
    <xf numFmtId="0" fontId="0" fillId="6" borderId="1" xfId="0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49" fontId="1" fillId="0" borderId="1" xfId="0" applyNumberFormat="1" applyFont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vertical="top"/>
    </xf>
    <xf numFmtId="0" fontId="22" fillId="10" borderId="0" xfId="0" applyFont="1" applyFill="1" applyAlignment="1" applyProtection="1">
      <alignment horizontal="center" vertical="center"/>
    </xf>
    <xf numFmtId="0" fontId="9" fillId="10" borderId="0" xfId="0" applyFont="1" applyFill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22" fillId="13" borderId="0" xfId="0" applyFont="1" applyFill="1" applyBorder="1" applyAlignment="1" applyProtection="1">
      <alignment horizontal="center" vertical="top"/>
    </xf>
    <xf numFmtId="0" fontId="22" fillId="3" borderId="0" xfId="0" applyFont="1" applyFill="1" applyBorder="1" applyAlignment="1" applyProtection="1">
      <alignment horizontal="center" vertical="top"/>
    </xf>
    <xf numFmtId="0" fontId="22" fillId="14" borderId="0" xfId="0" applyFont="1" applyFill="1" applyBorder="1" applyAlignment="1" applyProtection="1">
      <alignment horizontal="center" vertical="top"/>
    </xf>
    <xf numFmtId="0" fontId="10" fillId="0" borderId="0" xfId="0" applyFont="1" applyFill="1" applyBorder="1" applyAlignment="1" applyProtection="1">
      <alignment horizontal="center" vertical="top"/>
    </xf>
    <xf numFmtId="0" fontId="20" fillId="12" borderId="0" xfId="0" applyFont="1" applyFill="1" applyBorder="1" applyAlignment="1" applyProtection="1">
      <alignment horizontal="center" vertical="top"/>
    </xf>
    <xf numFmtId="0" fontId="26" fillId="3" borderId="0" xfId="0" applyFont="1" applyFill="1" applyBorder="1" applyAlignment="1" applyProtection="1">
      <alignment horizontal="center" vertical="top"/>
    </xf>
    <xf numFmtId="0" fontId="26" fillId="13" borderId="0" xfId="0" applyFont="1" applyFill="1" applyBorder="1" applyAlignment="1" applyProtection="1">
      <alignment horizontal="center" vertical="top"/>
    </xf>
  </cellXfs>
  <cellStyles count="2">
    <cellStyle name="Collegamento ipertestuale" xfId="1" builtinId="8"/>
    <cellStyle name="Normale" xfId="0" builtinId="0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numFmt numFmtId="0" formatCode="General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auto="1"/>
        <name val="Microsoft Sans Serif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border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border>
        <vertical/>
        <horizontal/>
      </border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ont>
        <b/>
        <i val="0"/>
      </font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ill>
        <patternFill>
          <bgColor rgb="FFCCFF99"/>
        </patternFill>
      </fill>
    </dxf>
    <dxf>
      <font>
        <color theme="0"/>
      </font>
      <fill>
        <patternFill>
          <bgColor rgb="FFFF9999"/>
        </patternFill>
      </fill>
    </dxf>
    <dxf>
      <fill>
        <patternFill>
          <bgColor rgb="FFCCFF99"/>
        </patternFill>
      </fill>
    </dxf>
    <dxf>
      <font>
        <color theme="0"/>
      </font>
      <fill>
        <patternFill>
          <bgColor rgb="FFFF9999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1A33B"/>
      <color rgb="FFC20A56"/>
      <color rgb="FF183DDE"/>
      <color rgb="FF00FFFF"/>
      <color rgb="FFFFCCFF"/>
      <color rgb="FFFF99FF"/>
      <color rgb="FF99FF99"/>
      <color rgb="FFCCFF99"/>
      <color rgb="FFFFCC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plotting!$J$2</c:f>
              <c:strCache>
                <c:ptCount val="1"/>
                <c:pt idx="0">
                  <c:v>Cy5</c:v>
                </c:pt>
              </c:strCache>
            </c:strRef>
          </c:tx>
          <c:spPr>
            <a:ln w="28575" cap="rnd">
              <a:solidFill>
                <a:srgbClr val="C20A5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20A56"/>
              </a:solidFill>
              <a:ln w="9525">
                <a:solidFill>
                  <a:srgbClr val="C20A56"/>
                </a:solidFill>
              </a:ln>
              <a:effectLst/>
            </c:spPr>
          </c:marker>
          <c:val>
            <c:numRef>
              <c:f>plotting!$J$3:$J$47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D-4492-B12E-E9BF88014F32}"/>
            </c:ext>
          </c:extLst>
        </c:ser>
        <c:ser>
          <c:idx val="1"/>
          <c:order val="1"/>
          <c:tx>
            <c:strRef>
              <c:f>plotting!$K$2</c:f>
              <c:strCache>
                <c:ptCount val="1"/>
                <c:pt idx="0">
                  <c:v>FAM</c:v>
                </c:pt>
              </c:strCache>
            </c:strRef>
          </c:tx>
          <c:spPr>
            <a:ln w="28575" cap="rnd">
              <a:solidFill>
                <a:srgbClr val="21A33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1A33B"/>
              </a:solidFill>
              <a:ln w="9525">
                <a:solidFill>
                  <a:srgbClr val="21A33B"/>
                </a:solidFill>
              </a:ln>
              <a:effectLst/>
            </c:spPr>
          </c:marker>
          <c:val>
            <c:numRef>
              <c:f>plotting!$K$3:$K$47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D-4492-B12E-E9BF88014F32}"/>
            </c:ext>
          </c:extLst>
        </c:ser>
        <c:ser>
          <c:idx val="2"/>
          <c:order val="2"/>
          <c:tx>
            <c:strRef>
              <c:f>plotting!$L$2</c:f>
              <c:strCache>
                <c:ptCount val="1"/>
                <c:pt idx="0">
                  <c:v>HEX</c:v>
                </c:pt>
              </c:strCache>
            </c:strRef>
          </c:tx>
          <c:spPr>
            <a:ln w="28575" cap="rnd">
              <a:solidFill>
                <a:srgbClr val="183DD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183DDE"/>
              </a:solidFill>
              <a:ln w="9525">
                <a:solidFill>
                  <a:srgbClr val="183DDE"/>
                </a:solidFill>
              </a:ln>
              <a:effectLst/>
            </c:spPr>
          </c:marker>
          <c:val>
            <c:numRef>
              <c:f>plotting!$L$3:$L$47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D-4492-B12E-E9BF88014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490176"/>
        <c:axId val="571499744"/>
      </c:lineChart>
      <c:scatterChart>
        <c:scatterStyle val="lineMarker"/>
        <c:varyColors val="0"/>
        <c:ser>
          <c:idx val="5"/>
          <c:order val="5"/>
          <c:tx>
            <c:v>Cy5 sopra soglia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plotting!$F$3:$F$47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xVal>
          <c:yVal>
            <c:numRef>
              <c:f>plotting!$M$3:$M$47</c:f>
              <c:numCache>
                <c:formatCode>General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C-4846-AB50-28B224B46E88}"/>
            </c:ext>
          </c:extLst>
        </c:ser>
        <c:ser>
          <c:idx val="6"/>
          <c:order val="6"/>
          <c:tx>
            <c:v>FAM sopra soglia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plotting!$F$3:$F$47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xVal>
          <c:yVal>
            <c:numRef>
              <c:f>plotting!$N$3:$N$47</c:f>
              <c:numCache>
                <c:formatCode>General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8C-4846-AB50-28B224B46E88}"/>
            </c:ext>
          </c:extLst>
        </c:ser>
        <c:ser>
          <c:idx val="7"/>
          <c:order val="7"/>
          <c:tx>
            <c:v>HEX sopra soglia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plotting!$F$3:$F$47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xVal>
          <c:yVal>
            <c:numRef>
              <c:f>plotting!$O$3:$O$47</c:f>
              <c:numCache>
                <c:formatCode>General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8C-4846-AB50-28B224B4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490176"/>
        <c:axId val="5714997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Soglia geni</c:v>
                </c:tx>
                <c:spPr>
                  <a:ln w="12700" cap="rnd">
                    <a:solidFill>
                      <a:schemeClr val="accent6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errBars>
                  <c:errDir val="x"/>
                  <c:errBarType val="both"/>
                  <c:errValType val="percentage"/>
                  <c:noEndCap val="1"/>
                  <c:val val="100"/>
                  <c:spPr>
                    <a:noFill/>
                    <a:ln w="9525" cap="flat" cmpd="sng" algn="ctr">
                      <a:solidFill>
                        <a:schemeClr val="accent6"/>
                      </a:solidFill>
                      <a:prstDash val="sysDot"/>
                      <a:round/>
                    </a:ln>
                    <a:effectLst/>
                  </c:spPr>
                </c:errBars>
                <c:xVal>
                  <c:numLit>
                    <c:formatCode>General</c:formatCode>
                    <c:ptCount val="1"/>
                    <c:pt idx="0">
                      <c:v>22.5</c:v>
                    </c:pt>
                  </c:numLit>
                </c:xVal>
                <c:yVal>
                  <c:numRef>
                    <c:extLst>
                      <c:ext uri="{02D57815-91ED-43cb-92C2-25804820EDAC}">
                        <c15:formulaRef>
                          <c15:sqref>plotting!$B$5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1.6989700043360187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FFA-4300-9649-8359F9826EBB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Soglia controllo</c:v>
                </c:tx>
                <c:spPr>
                  <a:ln w="9525" cap="rnd">
                    <a:solidFill>
                      <a:schemeClr val="accent5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errBars>
                  <c:errDir val="x"/>
                  <c:errBarType val="both"/>
                  <c:errValType val="percentage"/>
                  <c:noEndCap val="1"/>
                  <c:val val="100"/>
                  <c:spPr>
                    <a:noFill/>
                    <a:ln w="9525" cap="flat" cmpd="sng" algn="ctr">
                      <a:solidFill>
                        <a:schemeClr val="accent5"/>
                      </a:solidFill>
                      <a:prstDash val="sysDot"/>
                      <a:round/>
                    </a:ln>
                    <a:effectLst/>
                  </c:spPr>
                </c:errBars>
                <c:xVal>
                  <c:numLit>
                    <c:formatCode>General</c:formatCode>
                    <c:ptCount val="1"/>
                    <c:pt idx="0">
                      <c:v>22.5</c:v>
                    </c:pt>
                  </c:numLit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plotting!$B$6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2.1760912590556813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2FFA-4300-9649-8359F9826EBB}"/>
                  </c:ext>
                </c:extLst>
              </c15:ser>
            </c15:filteredScatterSeries>
          </c:ext>
        </c:extLst>
      </c:scatterChart>
      <c:catAx>
        <c:axId val="5714901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1499744"/>
        <c:crosses val="max"/>
        <c:auto val="1"/>
        <c:lblAlgn val="ctr"/>
        <c:lblOffset val="100"/>
        <c:noMultiLvlLbl val="0"/>
      </c:catAx>
      <c:valAx>
        <c:axId val="5714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149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plotting!$B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330824</xdr:colOff>
      <xdr:row>3</xdr:row>
      <xdr:rowOff>137638</xdr:rowOff>
    </xdr:from>
    <xdr:to>
      <xdr:col>6</xdr:col>
      <xdr:colOff>860141</xdr:colOff>
      <xdr:row>26</xdr:row>
      <xdr:rowOff>17630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123825</xdr:rowOff>
        </xdr:from>
        <xdr:to>
          <xdr:col>2</xdr:col>
          <xdr:colOff>771525</xdr:colOff>
          <xdr:row>5</xdr:row>
          <xdr:rowOff>47625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152400</xdr:rowOff>
        </xdr:from>
        <xdr:to>
          <xdr:col>7</xdr:col>
          <xdr:colOff>47625</xdr:colOff>
          <xdr:row>3</xdr:row>
          <xdr:rowOff>9525</xdr:rowOff>
        </xdr:to>
        <xdr:sp macro="" textlink="">
          <xdr:nvSpPr>
            <xdr:cNvPr id="22534" name="ScrollSamples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1</xdr:col>
          <xdr:colOff>457200</xdr:colOff>
          <xdr:row>17</xdr:row>
          <xdr:rowOff>76200</xdr:rowOff>
        </xdr:to>
        <xdr:sp macro="" textlink="">
          <xdr:nvSpPr>
            <xdr:cNvPr id="22539" name="TestResultValue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analysis_table" displayName="analysis_table" ref="A1:W97" totalsRowShown="0" headerRowDxfId="41" dataDxfId="40">
  <autoFilter ref="A1:W97"/>
  <tableColumns count="23">
    <tableColumn id="1" name="well_no_zero" dataDxfId="39"/>
    <tableColumn id="10" name="well_with_zero" dataDxfId="38">
      <calculatedColumnFormula>MID(analysis_table[well_no_zero],1,1) &amp; IF(VALUE(MID(analysis_table[well_no_zero],2,2)) &lt; 10, "0", "") &amp; MID(analysis_table[well_no_zero],2,2)</calculatedColumnFormula>
    </tableColumn>
    <tableColumn id="18" name="plate" dataDxfId="37">
      <calculatedColumnFormula>IF('Layout piastra'!$B$2 &lt;&gt; "", 'Layout piastra'!$B$2, "")</calculatedColumnFormula>
    </tableColumn>
    <tableColumn id="2" name="barcode" dataDxfId="36">
      <calculatedColumnFormula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calculatedColumnFormula>
    </tableColumn>
    <tableColumn id="17" name="batch" dataDxfId="35">
      <calculatedColumnFormula>VLOOKUP(_xlfn.NUMBERVALUE(MID(analysis_table[well_no_zero], 2, 2)), column_to_batch, 2, FALSE)</calculatedColumnFormula>
    </tableColumn>
    <tableColumn id="3" name="cy5_cq" dataDxfId="34"/>
    <tableColumn id="4" name="fam_cq" dataDxfId="33"/>
    <tableColumn id="5" name="hex_cq" dataDxfId="32"/>
    <tableColumn id="12" name="is_well_empy" dataDxfId="31"/>
    <tableColumn id="6" name="is_control" dataDxfId="30"/>
    <tableColumn id="7" name="control_type" dataDxfId="29"/>
    <tableColumn id="8" name="cq_tests" dataDxfId="28"/>
    <tableColumn id="9" name="test_result_auto" dataDxfId="27"/>
    <tableColumn id="11" name="test_symbol_auto" dataDxfId="26"/>
    <tableColumn id="13" name="user_result" dataDxfId="25"/>
    <tableColumn id="14" name="test_status" dataDxfId="24"/>
    <tableColumn id="15" name="test_symbol" dataDxfId="23"/>
    <tableColumn id="19" name="final_result" dataDxfId="22">
      <calculatedColumnFormula array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calculatedColumnFormula>
    </tableColumn>
    <tableColumn id="20" name="to_send" dataDxfId="21">
      <calculatedColumnFormula>IF(OR(analysis_table[is_well_empy]=TRUE, analysis_table[final_result]=""), FALSE, VLOOKUP(analysis_table[final_result],is_result_to_send,2,FALSE))</calculatedColumnFormula>
    </tableColumn>
    <tableColumn id="21" name="cq_test_final" dataDxfId="20">
      <calculatedColumnFormula>IF(analysis_table[to_send], IF(VLOOKUP(analysis_table[user_result],user_to_exam_result_prefix,2,FALSE) &lt;&gt; "", VLOOKUP(analysis_table[user_result],user_to_exam_result_prefix,2,FALSE) &amp; MID(analysis_table[cq_tests],3,1), analysis_table[cq_tests]), "")</calculatedColumnFormula>
    </tableColumn>
    <tableColumn id="16" name="final_control_result" dataDxfId="19">
      <calculatedColumnFormula array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calculatedColumnFormula>
    </tableColumn>
    <tableColumn id="22" name="kit_name" dataDxfId="18"/>
    <tableColumn id="23" name="plate_version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6"/>
  </sheetPr>
  <dimension ref="A2:V33"/>
  <sheetViews>
    <sheetView workbookViewId="0">
      <selection sqref="A1:XFD1048576"/>
    </sheetView>
  </sheetViews>
  <sheetFormatPr defaultRowHeight="10.5" x14ac:dyDescent="0.15"/>
  <cols>
    <col min="1" max="1" width="17.83203125" style="3" customWidth="1"/>
    <col min="2" max="2" width="17.5" style="3" customWidth="1"/>
    <col min="3" max="3" width="12.33203125" style="3" customWidth="1"/>
    <col min="4" max="4" width="12.83203125" style="3" bestFit="1" customWidth="1"/>
    <col min="5" max="6" width="11.6640625" style="3" bestFit="1" customWidth="1"/>
    <col min="7" max="8" width="12.83203125" style="3" bestFit="1" customWidth="1"/>
    <col min="9" max="9" width="13.6640625" style="3" customWidth="1"/>
    <col min="10" max="10" width="14.1640625" style="3" customWidth="1"/>
    <col min="11" max="11" width="12.6640625" style="3" customWidth="1"/>
    <col min="12" max="12" width="13" style="3" customWidth="1"/>
    <col min="13" max="13" width="14.6640625" style="3" customWidth="1"/>
    <col min="14" max="14" width="13.83203125" style="3" customWidth="1"/>
    <col min="15" max="16384" width="9.33203125" style="3"/>
  </cols>
  <sheetData>
    <row r="2" spans="1:14" ht="10.5" customHeight="1" x14ac:dyDescent="0.15">
      <c r="A2" s="3" t="s">
        <v>118</v>
      </c>
    </row>
    <row r="3" spans="1:14" ht="10.5" customHeight="1" x14ac:dyDescent="0.25">
      <c r="A3" s="98" t="s">
        <v>376</v>
      </c>
    </row>
    <row r="4" spans="1:14" x14ac:dyDescent="0.15">
      <c r="A4" s="3" t="s">
        <v>119</v>
      </c>
    </row>
    <row r="5" spans="1:14" x14ac:dyDescent="0.15">
      <c r="A5" s="3" t="s">
        <v>120</v>
      </c>
    </row>
    <row r="6" spans="1:14" x14ac:dyDescent="0.15">
      <c r="A6" s="3" t="s">
        <v>121</v>
      </c>
    </row>
    <row r="7" spans="1:14" x14ac:dyDescent="0.15">
      <c r="I7" s="6"/>
      <c r="J7" s="6"/>
    </row>
    <row r="8" spans="1:14" s="21" customFormat="1" ht="15" x14ac:dyDescent="0.25"/>
    <row r="10" spans="1:14" x14ac:dyDescent="0.15">
      <c r="B10" s="15"/>
      <c r="C10" s="16">
        <v>1</v>
      </c>
      <c r="D10" s="16">
        <v>2</v>
      </c>
      <c r="E10" s="16">
        <v>3</v>
      </c>
      <c r="F10" s="16">
        <v>4</v>
      </c>
      <c r="G10" s="16">
        <v>5</v>
      </c>
      <c r="H10" s="16">
        <v>6</v>
      </c>
      <c r="I10" s="16">
        <v>7</v>
      </c>
      <c r="J10" s="16">
        <v>8</v>
      </c>
      <c r="K10" s="16">
        <v>9</v>
      </c>
      <c r="L10" s="16">
        <v>10</v>
      </c>
      <c r="M10" s="16">
        <v>11</v>
      </c>
      <c r="N10" s="16">
        <v>12</v>
      </c>
    </row>
    <row r="11" spans="1:14" ht="15" x14ac:dyDescent="0.25">
      <c r="B11" s="17" t="s">
        <v>122</v>
      </c>
      <c r="C11" s="18"/>
      <c r="D11" s="19"/>
      <c r="E11" s="103"/>
      <c r="F11" s="20"/>
      <c r="G11" s="99"/>
      <c r="H11" s="7"/>
      <c r="I11" s="7"/>
      <c r="J11" s="99"/>
      <c r="K11" s="7"/>
      <c r="L11" s="7"/>
      <c r="M11" s="7"/>
      <c r="N11" s="18"/>
    </row>
    <row r="12" spans="1:14" ht="15" x14ac:dyDescent="0.25">
      <c r="B12" s="17" t="s">
        <v>123</v>
      </c>
      <c r="C12" s="20"/>
      <c r="D12" s="20"/>
      <c r="E12" s="20"/>
      <c r="F12" s="20"/>
      <c r="G12" s="7"/>
      <c r="H12" s="20"/>
      <c r="I12" s="7"/>
      <c r="J12" s="7"/>
      <c r="K12" s="7"/>
      <c r="L12" s="7"/>
      <c r="M12" s="7"/>
      <c r="N12" s="7"/>
    </row>
    <row r="13" spans="1:14" ht="15" x14ac:dyDescent="0.25">
      <c r="B13" s="17" t="s">
        <v>124</v>
      </c>
      <c r="C13" s="20"/>
      <c r="D13" s="20"/>
      <c r="E13" s="20"/>
      <c r="F13" s="8"/>
      <c r="G13" s="7"/>
      <c r="H13" s="20"/>
      <c r="I13" s="7"/>
      <c r="J13" s="7"/>
      <c r="K13" s="7"/>
      <c r="L13" s="7"/>
      <c r="M13" s="7"/>
      <c r="N13" s="7"/>
    </row>
    <row r="14" spans="1:14" ht="15" x14ac:dyDescent="0.25">
      <c r="B14" s="17" t="s">
        <v>125</v>
      </c>
      <c r="C14" s="20"/>
      <c r="D14" s="20"/>
      <c r="E14" s="20"/>
      <c r="F14" s="100"/>
      <c r="G14" s="9"/>
      <c r="H14" s="20"/>
      <c r="I14" s="7"/>
      <c r="J14" s="100"/>
      <c r="K14" s="7"/>
      <c r="L14" s="7"/>
      <c r="M14" s="7"/>
      <c r="N14" s="7"/>
    </row>
    <row r="15" spans="1:14" ht="15" x14ac:dyDescent="0.25">
      <c r="B15" s="17" t="s">
        <v>126</v>
      </c>
      <c r="C15" s="20"/>
      <c r="D15" s="20"/>
      <c r="E15" s="20"/>
      <c r="F15" s="20"/>
      <c r="G15" s="20"/>
      <c r="H15" s="20"/>
      <c r="I15" s="7"/>
      <c r="J15" s="7"/>
      <c r="K15" s="7"/>
      <c r="L15" s="7"/>
      <c r="M15" s="7"/>
      <c r="N15" s="7"/>
    </row>
    <row r="16" spans="1:14" ht="15" x14ac:dyDescent="0.25">
      <c r="B16" s="17" t="s">
        <v>127</v>
      </c>
      <c r="C16" s="20"/>
      <c r="D16" s="20"/>
      <c r="E16" s="20"/>
      <c r="F16" s="20"/>
      <c r="G16" s="20"/>
      <c r="H16" s="20"/>
      <c r="I16" s="7"/>
      <c r="J16" s="7"/>
      <c r="K16" s="7"/>
      <c r="L16" s="7"/>
      <c r="M16" s="7"/>
      <c r="N16" s="7"/>
    </row>
    <row r="17" spans="1:22" ht="15" x14ac:dyDescent="0.25">
      <c r="B17" s="17" t="s">
        <v>128</v>
      </c>
      <c r="C17" s="20"/>
      <c r="D17" s="20"/>
      <c r="E17" s="20"/>
      <c r="F17" s="20"/>
      <c r="G17" s="20"/>
      <c r="H17" s="20"/>
      <c r="I17" s="7"/>
      <c r="J17" s="7"/>
      <c r="K17" s="7"/>
      <c r="L17" s="7"/>
      <c r="M17" s="7"/>
      <c r="N17" s="7"/>
    </row>
    <row r="18" spans="1:22" ht="15" x14ac:dyDescent="0.25">
      <c r="B18" s="17" t="s">
        <v>129</v>
      </c>
      <c r="C18" s="99"/>
      <c r="D18" s="20"/>
      <c r="E18" s="20"/>
      <c r="F18" s="20"/>
      <c r="G18" s="20"/>
      <c r="H18" s="20"/>
      <c r="I18" s="7"/>
      <c r="J18" s="7"/>
      <c r="K18" s="7"/>
      <c r="L18" s="7"/>
      <c r="M18" s="7"/>
      <c r="N18" s="26"/>
    </row>
    <row r="20" spans="1:22" x14ac:dyDescent="0.1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</row>
    <row r="21" spans="1:22" x14ac:dyDescent="0.1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</row>
    <row r="22" spans="1:22" x14ac:dyDescent="0.1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</row>
    <row r="23" spans="1:22" x14ac:dyDescent="0.1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</row>
    <row r="24" spans="1:22" x14ac:dyDescent="0.1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1:22" x14ac:dyDescent="0.1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</row>
    <row r="26" spans="1:22" x14ac:dyDescent="0.1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</row>
    <row r="27" spans="1:22" x14ac:dyDescent="0.1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1:22" x14ac:dyDescent="0.1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1:22" x14ac:dyDescent="0.1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</row>
    <row r="30" spans="1:22" x14ac:dyDescent="0.1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22" x14ac:dyDescent="0.1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</row>
    <row r="32" spans="1:22" x14ac:dyDescent="0.1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</row>
    <row r="33" spans="1:22" x14ac:dyDescent="0.1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B1:CT51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8" spans="2:98" x14ac:dyDescent="0.15"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2:98" x14ac:dyDescent="0.15"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2:98" ht="10.5" customHeight="1" x14ac:dyDescent="0.15"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2:98" ht="10.5" customHeight="1" x14ac:dyDescent="0.15"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2:98" x14ac:dyDescent="0.15"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2:98" x14ac:dyDescent="0.15"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2:98" x14ac:dyDescent="0.15"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2:98" x14ac:dyDescent="0.15"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2:98" x14ac:dyDescent="0.15"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1:27" x14ac:dyDescent="0.15"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1:27" x14ac:dyDescent="0.15"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1:27" x14ac:dyDescent="0.15"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1:27" x14ac:dyDescent="0.15"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1:27" x14ac:dyDescent="0.15"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1:27" x14ac:dyDescent="0.15"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50" spans="4:15" x14ac:dyDescent="0.15">
      <c r="D50" s="106" t="s">
        <v>384</v>
      </c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</row>
    <row r="51" spans="4:15" x14ac:dyDescent="0.15"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</row>
  </sheetData>
  <mergeCells count="1">
    <mergeCell ref="D50:O5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B1:CT51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5" spans="2:98" x14ac:dyDescent="0.15"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</row>
    <row r="6" spans="2:98" x14ac:dyDescent="0.15"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</row>
    <row r="7" spans="2:98" x14ac:dyDescent="0.15"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</row>
    <row r="8" spans="2:98" x14ac:dyDescent="0.15"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98" x14ac:dyDescent="0.15"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98" ht="10.5" customHeight="1" x14ac:dyDescent="0.15"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98" ht="10.5" customHeight="1" x14ac:dyDescent="0.15"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98" x14ac:dyDescent="0.15"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98" x14ac:dyDescent="0.15"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98" x14ac:dyDescent="0.15"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98" x14ac:dyDescent="0.15"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98" x14ac:dyDescent="0.15"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</row>
    <row r="50" spans="4:15" x14ac:dyDescent="0.15">
      <c r="D50" s="106" t="s">
        <v>385</v>
      </c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</row>
    <row r="51" spans="4:15" x14ac:dyDescent="0.15"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</row>
  </sheetData>
  <mergeCells count="1">
    <mergeCell ref="D50:O5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B1:CT51"/>
  <sheetViews>
    <sheetView topLeftCell="B1" workbookViewId="0">
      <selection activeCell="B1" sqref="A1:XFD1048576"/>
    </sheetView>
  </sheetViews>
  <sheetFormatPr defaultRowHeight="10.5" x14ac:dyDescent="0.15"/>
  <cols>
    <col min="1" max="1" width="0" style="3" hidden="1" customWidth="1"/>
    <col min="2" max="16384" width="9.33203125" style="3"/>
  </cols>
  <sheetData>
    <row r="1" spans="2:98" x14ac:dyDescent="0.15">
      <c r="B1" s="3" t="s">
        <v>189</v>
      </c>
      <c r="C1" s="3" t="s">
        <v>190</v>
      </c>
      <c r="D1" s="3" t="s">
        <v>108</v>
      </c>
      <c r="E1" s="3" t="s">
        <v>191</v>
      </c>
      <c r="F1" s="3" t="s">
        <v>192</v>
      </c>
      <c r="G1" s="3" t="s">
        <v>193</v>
      </c>
      <c r="H1" s="3" t="s">
        <v>194</v>
      </c>
      <c r="I1" s="3" t="s">
        <v>195</v>
      </c>
      <c r="J1" s="3" t="s">
        <v>196</v>
      </c>
      <c r="K1" s="3" t="s">
        <v>197</v>
      </c>
      <c r="L1" s="3" t="s">
        <v>137</v>
      </c>
      <c r="M1" s="3" t="s">
        <v>145</v>
      </c>
      <c r="N1" s="3" t="s">
        <v>153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3" t="s">
        <v>205</v>
      </c>
      <c r="W1" s="3" t="s">
        <v>206</v>
      </c>
      <c r="X1" s="3" t="s">
        <v>138</v>
      </c>
      <c r="Y1" s="3" t="s">
        <v>146</v>
      </c>
      <c r="Z1" s="3" t="s">
        <v>154</v>
      </c>
      <c r="AA1" s="3" t="s">
        <v>207</v>
      </c>
      <c r="AB1" s="3" t="s">
        <v>208</v>
      </c>
      <c r="AC1" s="3" t="s">
        <v>209</v>
      </c>
      <c r="AD1" s="3" t="s">
        <v>210</v>
      </c>
      <c r="AE1" s="3" t="s">
        <v>211</v>
      </c>
      <c r="AF1" s="3" t="s">
        <v>212</v>
      </c>
      <c r="AG1" s="3" t="s">
        <v>213</v>
      </c>
      <c r="AH1" s="3" t="s">
        <v>214</v>
      </c>
      <c r="AI1" s="3" t="s">
        <v>215</v>
      </c>
      <c r="AJ1" s="3" t="s">
        <v>139</v>
      </c>
      <c r="AK1" s="3" t="s">
        <v>147</v>
      </c>
      <c r="AL1" s="3" t="s">
        <v>155</v>
      </c>
      <c r="AM1" s="3" t="s">
        <v>216</v>
      </c>
      <c r="AN1" s="3" t="s">
        <v>217</v>
      </c>
      <c r="AO1" s="3" t="s">
        <v>218</v>
      </c>
      <c r="AP1" s="3" t="s">
        <v>219</v>
      </c>
      <c r="AQ1" s="3" t="s">
        <v>220</v>
      </c>
      <c r="AR1" s="3" t="s">
        <v>221</v>
      </c>
      <c r="AS1" s="3" t="s">
        <v>222</v>
      </c>
      <c r="AT1" s="3" t="s">
        <v>223</v>
      </c>
      <c r="AU1" s="3" t="s">
        <v>224</v>
      </c>
      <c r="AV1" s="3" t="s">
        <v>140</v>
      </c>
      <c r="AW1" s="3" t="s">
        <v>148</v>
      </c>
      <c r="AX1" s="3" t="s">
        <v>156</v>
      </c>
      <c r="AY1" s="3" t="s">
        <v>225</v>
      </c>
      <c r="AZ1" s="3" t="s">
        <v>226</v>
      </c>
      <c r="BA1" s="3" t="s">
        <v>227</v>
      </c>
      <c r="BB1" s="3" t="s">
        <v>228</v>
      </c>
      <c r="BC1" s="3" t="s">
        <v>229</v>
      </c>
      <c r="BD1" s="3" t="s">
        <v>230</v>
      </c>
      <c r="BE1" s="3" t="s">
        <v>231</v>
      </c>
      <c r="BF1" s="3" t="s">
        <v>232</v>
      </c>
      <c r="BG1" s="3" t="s">
        <v>233</v>
      </c>
      <c r="BH1" s="3" t="s">
        <v>141</v>
      </c>
      <c r="BI1" s="3" t="s">
        <v>149</v>
      </c>
      <c r="BJ1" s="3" t="s">
        <v>157</v>
      </c>
      <c r="BK1" s="3" t="s">
        <v>234</v>
      </c>
      <c r="BL1" s="3" t="s">
        <v>235</v>
      </c>
      <c r="BM1" s="3" t="s">
        <v>236</v>
      </c>
      <c r="BN1" s="3" t="s">
        <v>237</v>
      </c>
      <c r="BO1" s="3" t="s">
        <v>238</v>
      </c>
      <c r="BP1" s="3" t="s">
        <v>239</v>
      </c>
      <c r="BQ1" s="3" t="s">
        <v>240</v>
      </c>
      <c r="BR1" s="3" t="s">
        <v>241</v>
      </c>
      <c r="BS1" s="3" t="s">
        <v>242</v>
      </c>
      <c r="BT1" s="3" t="s">
        <v>142</v>
      </c>
      <c r="BU1" s="3" t="s">
        <v>150</v>
      </c>
      <c r="BV1" s="3" t="s">
        <v>158</v>
      </c>
      <c r="BW1" s="3" t="s">
        <v>243</v>
      </c>
      <c r="BX1" s="3" t="s">
        <v>244</v>
      </c>
      <c r="BY1" s="3" t="s">
        <v>245</v>
      </c>
      <c r="BZ1" s="3" t="s">
        <v>246</v>
      </c>
      <c r="CA1" s="3" t="s">
        <v>247</v>
      </c>
      <c r="CB1" s="3" t="s">
        <v>248</v>
      </c>
      <c r="CC1" s="3" t="s">
        <v>249</v>
      </c>
      <c r="CD1" s="3" t="s">
        <v>250</v>
      </c>
      <c r="CE1" s="3" t="s">
        <v>251</v>
      </c>
      <c r="CF1" s="3" t="s">
        <v>143</v>
      </c>
      <c r="CG1" s="3" t="s">
        <v>151</v>
      </c>
      <c r="CH1" s="3" t="s">
        <v>159</v>
      </c>
      <c r="CI1" s="3" t="s">
        <v>102</v>
      </c>
      <c r="CJ1" s="3" t="s">
        <v>252</v>
      </c>
      <c r="CK1" s="3" t="s">
        <v>253</v>
      </c>
      <c r="CL1" s="3" t="s">
        <v>254</v>
      </c>
      <c r="CM1" s="3" t="s">
        <v>255</v>
      </c>
      <c r="CN1" s="3" t="s">
        <v>256</v>
      </c>
      <c r="CO1" s="3" t="s">
        <v>257</v>
      </c>
      <c r="CP1" s="3" t="s">
        <v>258</v>
      </c>
      <c r="CQ1" s="3" t="s">
        <v>259</v>
      </c>
      <c r="CR1" s="3" t="s">
        <v>144</v>
      </c>
      <c r="CS1" s="3" t="s">
        <v>152</v>
      </c>
      <c r="CT1" s="3" t="s">
        <v>160</v>
      </c>
    </row>
    <row r="7" spans="2:98" x14ac:dyDescent="0.15"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</row>
    <row r="8" spans="2:98" x14ac:dyDescent="0.15"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98" x14ac:dyDescent="0.15"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98" ht="10.5" customHeight="1" x14ac:dyDescent="0.15"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98" ht="10.5" customHeight="1" x14ac:dyDescent="0.15"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98" x14ac:dyDescent="0.15"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98" x14ac:dyDescent="0.15"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98" x14ac:dyDescent="0.15"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98" x14ac:dyDescent="0.15"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98" x14ac:dyDescent="0.15"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</row>
    <row r="46" spans="7:7" x14ac:dyDescent="0.15">
      <c r="G46" s="25"/>
    </row>
    <row r="50" spans="4:15" x14ac:dyDescent="0.15">
      <c r="D50" s="106" t="s">
        <v>386</v>
      </c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</row>
    <row r="51" spans="4:15" x14ac:dyDescent="0.15"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</row>
  </sheetData>
  <mergeCells count="1">
    <mergeCell ref="D50:O5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theme="9" tint="0.39997558519241921"/>
  </sheetPr>
  <dimension ref="B1:X290"/>
  <sheetViews>
    <sheetView topLeftCell="B1" zoomScale="130" zoomScaleNormal="130" workbookViewId="0">
      <selection activeCell="B1" sqref="A1:XFD1048576"/>
    </sheetView>
  </sheetViews>
  <sheetFormatPr defaultRowHeight="10.5" x14ac:dyDescent="0.15"/>
  <cols>
    <col min="1" max="1" width="0" hidden="1" customWidth="1"/>
    <col min="2" max="5" width="9.33203125" style="3"/>
  </cols>
  <sheetData>
    <row r="1" spans="2:24" ht="21" x14ac:dyDescent="0.15">
      <c r="B1" s="4" t="s">
        <v>0</v>
      </c>
      <c r="C1" s="4" t="s">
        <v>1</v>
      </c>
      <c r="D1" s="4" t="s">
        <v>130</v>
      </c>
      <c r="E1" s="4" t="s">
        <v>131</v>
      </c>
      <c r="F1" s="4" t="s">
        <v>132</v>
      </c>
      <c r="G1" s="4" t="s">
        <v>133</v>
      </c>
      <c r="H1" s="4" t="s">
        <v>134</v>
      </c>
      <c r="I1" s="4" t="s">
        <v>135</v>
      </c>
    </row>
    <row r="2" spans="2:24" x14ac:dyDescent="0.15">
      <c r="B2" s="5" t="s">
        <v>2</v>
      </c>
      <c r="C2" s="5" t="s">
        <v>85</v>
      </c>
      <c r="D2" s="5"/>
      <c r="E2" s="5" t="s">
        <v>136</v>
      </c>
      <c r="F2" s="5"/>
      <c r="G2" s="22" t="s">
        <v>324</v>
      </c>
      <c r="H2" s="22">
        <v>0</v>
      </c>
      <c r="I2" s="23">
        <v>0</v>
      </c>
    </row>
    <row r="3" spans="2:24" ht="10.5" customHeight="1" x14ac:dyDescent="0.15">
      <c r="B3" s="5" t="s">
        <v>12</v>
      </c>
      <c r="C3" s="5" t="s">
        <v>85</v>
      </c>
      <c r="D3" s="5"/>
      <c r="E3" s="5" t="s">
        <v>136</v>
      </c>
      <c r="F3" s="5"/>
      <c r="G3" s="22" t="s">
        <v>324</v>
      </c>
      <c r="H3" s="22">
        <v>0</v>
      </c>
      <c r="I3" s="23">
        <v>0</v>
      </c>
      <c r="L3" s="107" t="s">
        <v>161</v>
      </c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2:24" ht="10.5" customHeight="1" x14ac:dyDescent="0.15">
      <c r="B4" s="5" t="s">
        <v>20</v>
      </c>
      <c r="C4" s="5" t="s">
        <v>85</v>
      </c>
      <c r="D4" s="5"/>
      <c r="E4" s="5" t="s">
        <v>136</v>
      </c>
      <c r="F4" s="5"/>
      <c r="G4" s="22" t="s">
        <v>324</v>
      </c>
      <c r="H4" s="22">
        <v>0</v>
      </c>
      <c r="I4" s="23">
        <v>0</v>
      </c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2:24" x14ac:dyDescent="0.15">
      <c r="B5" s="5" t="s">
        <v>28</v>
      </c>
      <c r="C5" s="5" t="s">
        <v>85</v>
      </c>
      <c r="D5" s="5"/>
      <c r="E5" s="5" t="s">
        <v>136</v>
      </c>
      <c r="F5" s="5"/>
      <c r="G5" s="22" t="s">
        <v>324</v>
      </c>
      <c r="H5" s="22">
        <v>0</v>
      </c>
      <c r="I5" s="23">
        <v>0</v>
      </c>
    </row>
    <row r="6" spans="2:24" ht="10.5" customHeight="1" x14ac:dyDescent="0.15">
      <c r="B6" s="5" t="s">
        <v>36</v>
      </c>
      <c r="C6" s="5" t="s">
        <v>85</v>
      </c>
      <c r="D6" s="5"/>
      <c r="E6" s="5" t="s">
        <v>136</v>
      </c>
      <c r="F6" s="5"/>
      <c r="G6" s="22" t="s">
        <v>324</v>
      </c>
      <c r="H6" s="22">
        <v>0</v>
      </c>
      <c r="I6" s="23">
        <v>0</v>
      </c>
      <c r="L6" s="107" t="s">
        <v>162</v>
      </c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</row>
    <row r="7" spans="2:24" ht="10.5" customHeight="1" x14ac:dyDescent="0.15">
      <c r="B7" s="5" t="s">
        <v>44</v>
      </c>
      <c r="C7" s="5" t="s">
        <v>85</v>
      </c>
      <c r="D7" s="5"/>
      <c r="E7" s="5" t="s">
        <v>136</v>
      </c>
      <c r="F7" s="5"/>
      <c r="G7" s="22" t="s">
        <v>324</v>
      </c>
      <c r="H7" s="22">
        <v>0</v>
      </c>
      <c r="I7" s="23">
        <v>0</v>
      </c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</row>
    <row r="8" spans="2:24" x14ac:dyDescent="0.15">
      <c r="B8" s="5" t="s">
        <v>52</v>
      </c>
      <c r="C8" s="5" t="s">
        <v>85</v>
      </c>
      <c r="D8" s="5"/>
      <c r="E8" s="5" t="s">
        <v>136</v>
      </c>
      <c r="F8" s="5"/>
      <c r="G8" s="22" t="s">
        <v>324</v>
      </c>
      <c r="H8" s="22">
        <v>0</v>
      </c>
      <c r="I8" s="23"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24" x14ac:dyDescent="0.15">
      <c r="B9" s="5" t="s">
        <v>60</v>
      </c>
      <c r="C9" s="5" t="s">
        <v>85</v>
      </c>
      <c r="D9" s="5"/>
      <c r="E9" s="5" t="s">
        <v>136</v>
      </c>
      <c r="F9" s="5"/>
      <c r="G9" s="22" t="s">
        <v>324</v>
      </c>
      <c r="H9" s="22">
        <v>0</v>
      </c>
      <c r="I9" s="23">
        <v>0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24" x14ac:dyDescent="0.15">
      <c r="B10" s="5" t="s">
        <v>68</v>
      </c>
      <c r="C10" s="5" t="s">
        <v>85</v>
      </c>
      <c r="D10" s="5"/>
      <c r="E10" s="5" t="s">
        <v>136</v>
      </c>
      <c r="F10" s="5"/>
      <c r="G10" s="22" t="s">
        <v>324</v>
      </c>
      <c r="H10" s="22">
        <v>0</v>
      </c>
      <c r="I10" s="23">
        <v>0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24" x14ac:dyDescent="0.15">
      <c r="B11" s="5" t="s">
        <v>137</v>
      </c>
      <c r="C11" s="5" t="s">
        <v>85</v>
      </c>
      <c r="D11" s="5"/>
      <c r="E11" s="5" t="s">
        <v>136</v>
      </c>
      <c r="F11" s="5"/>
      <c r="G11" s="22" t="s">
        <v>324</v>
      </c>
      <c r="H11" s="22">
        <v>0</v>
      </c>
      <c r="I11" s="23">
        <v>0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24" x14ac:dyDescent="0.15">
      <c r="B12" s="5" t="s">
        <v>145</v>
      </c>
      <c r="C12" s="5" t="s">
        <v>85</v>
      </c>
      <c r="D12" s="5"/>
      <c r="E12" s="5" t="s">
        <v>136</v>
      </c>
      <c r="F12" s="5"/>
      <c r="G12" s="22" t="s">
        <v>324</v>
      </c>
      <c r="H12" s="22">
        <v>0</v>
      </c>
      <c r="I12" s="23">
        <v>0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24" x14ac:dyDescent="0.15">
      <c r="B13" s="5" t="s">
        <v>153</v>
      </c>
      <c r="C13" s="5" t="s">
        <v>85</v>
      </c>
      <c r="D13" s="5"/>
      <c r="E13" s="5" t="s">
        <v>136</v>
      </c>
      <c r="F13" s="5"/>
      <c r="G13" s="22" t="s">
        <v>324</v>
      </c>
      <c r="H13" s="22">
        <v>0</v>
      </c>
      <c r="I13" s="23">
        <v>0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24" x14ac:dyDescent="0.15">
      <c r="B14" s="5" t="s">
        <v>5</v>
      </c>
      <c r="C14" s="5" t="s">
        <v>85</v>
      </c>
      <c r="D14" s="5"/>
      <c r="E14" s="5" t="s">
        <v>136</v>
      </c>
      <c r="F14" s="5"/>
      <c r="G14" s="22" t="s">
        <v>324</v>
      </c>
      <c r="H14" s="22">
        <v>0</v>
      </c>
      <c r="I14" s="23">
        <v>0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24" x14ac:dyDescent="0.15">
      <c r="B15" s="5" t="s">
        <v>13</v>
      </c>
      <c r="C15" s="5" t="s">
        <v>85</v>
      </c>
      <c r="D15" s="5"/>
      <c r="E15" s="5" t="s">
        <v>136</v>
      </c>
      <c r="F15" s="5"/>
      <c r="G15" s="22" t="s">
        <v>324</v>
      </c>
      <c r="H15" s="22">
        <v>0</v>
      </c>
      <c r="I15" s="23">
        <v>0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24" x14ac:dyDescent="0.15">
      <c r="B16" s="5" t="s">
        <v>21</v>
      </c>
      <c r="C16" s="5" t="s">
        <v>85</v>
      </c>
      <c r="D16" s="5"/>
      <c r="E16" s="5" t="s">
        <v>136</v>
      </c>
      <c r="F16" s="5"/>
      <c r="G16" s="22" t="s">
        <v>324</v>
      </c>
      <c r="H16" s="22">
        <v>0</v>
      </c>
      <c r="I16" s="23">
        <v>0</v>
      </c>
    </row>
    <row r="17" spans="2:9" x14ac:dyDescent="0.15">
      <c r="B17" s="5" t="s">
        <v>29</v>
      </c>
      <c r="C17" s="5" t="s">
        <v>85</v>
      </c>
      <c r="D17" s="5"/>
      <c r="E17" s="5" t="s">
        <v>136</v>
      </c>
      <c r="F17" s="5"/>
      <c r="G17" s="22" t="s">
        <v>324</v>
      </c>
      <c r="H17" s="22">
        <v>0</v>
      </c>
      <c r="I17" s="23">
        <v>0</v>
      </c>
    </row>
    <row r="18" spans="2:9" x14ac:dyDescent="0.15">
      <c r="B18" s="5" t="s">
        <v>37</v>
      </c>
      <c r="C18" s="5" t="s">
        <v>85</v>
      </c>
      <c r="D18" s="5"/>
      <c r="E18" s="5" t="s">
        <v>136</v>
      </c>
      <c r="F18" s="5"/>
      <c r="G18" s="22" t="s">
        <v>324</v>
      </c>
      <c r="H18" s="22">
        <v>0</v>
      </c>
      <c r="I18" s="23">
        <v>0</v>
      </c>
    </row>
    <row r="19" spans="2:9" x14ac:dyDescent="0.15">
      <c r="B19" s="5" t="s">
        <v>45</v>
      </c>
      <c r="C19" s="5" t="s">
        <v>85</v>
      </c>
      <c r="D19" s="5"/>
      <c r="E19" s="5" t="s">
        <v>136</v>
      </c>
      <c r="F19" s="5"/>
      <c r="G19" s="22" t="s">
        <v>324</v>
      </c>
      <c r="H19" s="22">
        <v>0</v>
      </c>
      <c r="I19" s="23">
        <v>0</v>
      </c>
    </row>
    <row r="20" spans="2:9" x14ac:dyDescent="0.15">
      <c r="B20" s="5" t="s">
        <v>53</v>
      </c>
      <c r="C20" s="5" t="s">
        <v>85</v>
      </c>
      <c r="D20" s="5"/>
      <c r="E20" s="5" t="s">
        <v>136</v>
      </c>
      <c r="F20" s="5"/>
      <c r="G20" s="22" t="s">
        <v>324</v>
      </c>
      <c r="H20" s="22">
        <v>0</v>
      </c>
      <c r="I20" s="23">
        <v>0</v>
      </c>
    </row>
    <row r="21" spans="2:9" x14ac:dyDescent="0.15">
      <c r="B21" s="5" t="s">
        <v>61</v>
      </c>
      <c r="C21" s="5" t="s">
        <v>85</v>
      </c>
      <c r="D21" s="5"/>
      <c r="E21" s="5" t="s">
        <v>136</v>
      </c>
      <c r="F21" s="5"/>
      <c r="G21" s="22" t="s">
        <v>324</v>
      </c>
      <c r="H21" s="22">
        <v>0</v>
      </c>
      <c r="I21" s="23">
        <v>0</v>
      </c>
    </row>
    <row r="22" spans="2:9" x14ac:dyDescent="0.15">
      <c r="B22" s="5" t="s">
        <v>69</v>
      </c>
      <c r="C22" s="5" t="s">
        <v>85</v>
      </c>
      <c r="D22" s="5"/>
      <c r="E22" s="5" t="s">
        <v>136</v>
      </c>
      <c r="F22" s="5"/>
      <c r="G22" s="22" t="s">
        <v>324</v>
      </c>
      <c r="H22" s="22">
        <v>0</v>
      </c>
      <c r="I22" s="23">
        <v>0</v>
      </c>
    </row>
    <row r="23" spans="2:9" x14ac:dyDescent="0.15">
      <c r="B23" s="5" t="s">
        <v>138</v>
      </c>
      <c r="C23" s="5" t="s">
        <v>85</v>
      </c>
      <c r="D23" s="5"/>
      <c r="E23" s="5" t="s">
        <v>136</v>
      </c>
      <c r="F23" s="5"/>
      <c r="G23" s="22" t="s">
        <v>324</v>
      </c>
      <c r="H23" s="22">
        <v>0</v>
      </c>
      <c r="I23" s="23">
        <v>0</v>
      </c>
    </row>
    <row r="24" spans="2:9" x14ac:dyDescent="0.15">
      <c r="B24" s="5" t="s">
        <v>146</v>
      </c>
      <c r="C24" s="5" t="s">
        <v>85</v>
      </c>
      <c r="D24" s="5"/>
      <c r="E24" s="5" t="s">
        <v>136</v>
      </c>
      <c r="F24" s="5"/>
      <c r="G24" s="22" t="s">
        <v>324</v>
      </c>
      <c r="H24" s="22">
        <v>0</v>
      </c>
      <c r="I24" s="23">
        <v>0</v>
      </c>
    </row>
    <row r="25" spans="2:9" x14ac:dyDescent="0.15">
      <c r="B25" s="5" t="s">
        <v>154</v>
      </c>
      <c r="C25" s="5" t="s">
        <v>85</v>
      </c>
      <c r="D25" s="5"/>
      <c r="E25" s="5" t="s">
        <v>136</v>
      </c>
      <c r="F25" s="5"/>
      <c r="G25" s="22" t="s">
        <v>324</v>
      </c>
      <c r="H25" s="22">
        <v>0</v>
      </c>
      <c r="I25" s="23">
        <v>0</v>
      </c>
    </row>
    <row r="26" spans="2:9" x14ac:dyDescent="0.15">
      <c r="B26" s="5" t="s">
        <v>6</v>
      </c>
      <c r="C26" s="5" t="s">
        <v>85</v>
      </c>
      <c r="D26" s="5"/>
      <c r="E26" s="5" t="s">
        <v>136</v>
      </c>
      <c r="F26" s="5"/>
      <c r="G26" s="22" t="s">
        <v>324</v>
      </c>
      <c r="H26" s="22">
        <v>0</v>
      </c>
      <c r="I26" s="23">
        <v>0</v>
      </c>
    </row>
    <row r="27" spans="2:9" x14ac:dyDescent="0.15">
      <c r="B27" s="5" t="s">
        <v>14</v>
      </c>
      <c r="C27" s="5" t="s">
        <v>85</v>
      </c>
      <c r="D27" s="5"/>
      <c r="E27" s="5" t="s">
        <v>136</v>
      </c>
      <c r="F27" s="5"/>
      <c r="G27" s="22" t="s">
        <v>324</v>
      </c>
      <c r="H27" s="22">
        <v>0</v>
      </c>
      <c r="I27" s="23">
        <v>0</v>
      </c>
    </row>
    <row r="28" spans="2:9" x14ac:dyDescent="0.15">
      <c r="B28" s="5" t="s">
        <v>22</v>
      </c>
      <c r="C28" s="5" t="s">
        <v>85</v>
      </c>
      <c r="D28" s="5"/>
      <c r="E28" s="5" t="s">
        <v>136</v>
      </c>
      <c r="F28" s="5"/>
      <c r="G28" s="22" t="s">
        <v>324</v>
      </c>
      <c r="H28" s="22">
        <v>0</v>
      </c>
      <c r="I28" s="23">
        <v>0</v>
      </c>
    </row>
    <row r="29" spans="2:9" x14ac:dyDescent="0.15">
      <c r="B29" s="5" t="s">
        <v>30</v>
      </c>
      <c r="C29" s="5" t="s">
        <v>85</v>
      </c>
      <c r="D29" s="5"/>
      <c r="E29" s="5" t="s">
        <v>136</v>
      </c>
      <c r="F29" s="5"/>
      <c r="G29" s="22" t="s">
        <v>324</v>
      </c>
      <c r="H29" s="22">
        <v>0</v>
      </c>
      <c r="I29" s="23">
        <v>0</v>
      </c>
    </row>
    <row r="30" spans="2:9" x14ac:dyDescent="0.15">
      <c r="B30" s="5" t="s">
        <v>38</v>
      </c>
      <c r="C30" s="5" t="s">
        <v>85</v>
      </c>
      <c r="D30" s="5"/>
      <c r="E30" s="5" t="s">
        <v>136</v>
      </c>
      <c r="F30" s="5"/>
      <c r="G30" s="22" t="s">
        <v>324</v>
      </c>
      <c r="H30" s="22">
        <v>0</v>
      </c>
      <c r="I30" s="23">
        <v>0</v>
      </c>
    </row>
    <row r="31" spans="2:9" x14ac:dyDescent="0.15">
      <c r="B31" s="5" t="s">
        <v>46</v>
      </c>
      <c r="C31" s="5" t="s">
        <v>85</v>
      </c>
      <c r="D31" s="5"/>
      <c r="E31" s="5" t="s">
        <v>136</v>
      </c>
      <c r="F31" s="5"/>
      <c r="G31" s="22" t="s">
        <v>324</v>
      </c>
      <c r="H31" s="22">
        <v>0</v>
      </c>
      <c r="I31" s="23">
        <v>0</v>
      </c>
    </row>
    <row r="32" spans="2:9" x14ac:dyDescent="0.15">
      <c r="B32" s="5" t="s">
        <v>54</v>
      </c>
      <c r="C32" s="5" t="s">
        <v>85</v>
      </c>
      <c r="D32" s="5"/>
      <c r="E32" s="5" t="s">
        <v>136</v>
      </c>
      <c r="F32" s="5"/>
      <c r="G32" s="22" t="s">
        <v>324</v>
      </c>
      <c r="H32" s="22">
        <v>0</v>
      </c>
      <c r="I32" s="23">
        <v>0</v>
      </c>
    </row>
    <row r="33" spans="2:9" x14ac:dyDescent="0.15">
      <c r="B33" s="5" t="s">
        <v>62</v>
      </c>
      <c r="C33" s="5" t="s">
        <v>85</v>
      </c>
      <c r="D33" s="5"/>
      <c r="E33" s="5" t="s">
        <v>136</v>
      </c>
      <c r="F33" s="5"/>
      <c r="G33" s="22" t="s">
        <v>324</v>
      </c>
      <c r="H33" s="22">
        <v>0</v>
      </c>
      <c r="I33" s="23">
        <v>0</v>
      </c>
    </row>
    <row r="34" spans="2:9" x14ac:dyDescent="0.15">
      <c r="B34" s="5" t="s">
        <v>70</v>
      </c>
      <c r="C34" s="5" t="s">
        <v>85</v>
      </c>
      <c r="D34" s="5"/>
      <c r="E34" s="5" t="s">
        <v>136</v>
      </c>
      <c r="F34" s="5"/>
      <c r="G34" s="22" t="s">
        <v>324</v>
      </c>
      <c r="H34" s="22">
        <v>0</v>
      </c>
      <c r="I34" s="23">
        <v>0</v>
      </c>
    </row>
    <row r="35" spans="2:9" x14ac:dyDescent="0.15">
      <c r="B35" s="5" t="s">
        <v>139</v>
      </c>
      <c r="C35" s="5" t="s">
        <v>85</v>
      </c>
      <c r="D35" s="5"/>
      <c r="E35" s="5" t="s">
        <v>136</v>
      </c>
      <c r="F35" s="5"/>
      <c r="G35" s="22" t="s">
        <v>324</v>
      </c>
      <c r="H35" s="22">
        <v>0</v>
      </c>
      <c r="I35" s="23">
        <v>0</v>
      </c>
    </row>
    <row r="36" spans="2:9" x14ac:dyDescent="0.15">
      <c r="B36" s="5" t="s">
        <v>147</v>
      </c>
      <c r="C36" s="5" t="s">
        <v>85</v>
      </c>
      <c r="D36" s="5"/>
      <c r="E36" s="5" t="s">
        <v>136</v>
      </c>
      <c r="F36" s="5"/>
      <c r="G36" s="22" t="s">
        <v>324</v>
      </c>
      <c r="H36" s="22">
        <v>0</v>
      </c>
      <c r="I36" s="23">
        <v>0</v>
      </c>
    </row>
    <row r="37" spans="2:9" x14ac:dyDescent="0.15">
      <c r="B37" s="5" t="s">
        <v>155</v>
      </c>
      <c r="C37" s="5" t="s">
        <v>85</v>
      </c>
      <c r="D37" s="5"/>
      <c r="E37" s="5" t="s">
        <v>136</v>
      </c>
      <c r="F37" s="5"/>
      <c r="G37" s="22" t="s">
        <v>324</v>
      </c>
      <c r="H37" s="22">
        <v>0</v>
      </c>
      <c r="I37" s="23">
        <v>0</v>
      </c>
    </row>
    <row r="38" spans="2:9" x14ac:dyDescent="0.15">
      <c r="B38" s="5" t="s">
        <v>7</v>
      </c>
      <c r="C38" s="5" t="s">
        <v>85</v>
      </c>
      <c r="D38" s="5"/>
      <c r="E38" s="5" t="s">
        <v>136</v>
      </c>
      <c r="F38" s="5"/>
      <c r="G38" s="22" t="s">
        <v>324</v>
      </c>
      <c r="H38" s="22">
        <v>0</v>
      </c>
      <c r="I38" s="23">
        <v>0</v>
      </c>
    </row>
    <row r="39" spans="2:9" x14ac:dyDescent="0.15">
      <c r="B39" s="5" t="s">
        <v>15</v>
      </c>
      <c r="C39" s="5" t="s">
        <v>85</v>
      </c>
      <c r="D39" s="5"/>
      <c r="E39" s="5" t="s">
        <v>136</v>
      </c>
      <c r="F39" s="5"/>
      <c r="G39" s="22" t="s">
        <v>324</v>
      </c>
      <c r="H39" s="22">
        <v>0</v>
      </c>
      <c r="I39" s="23">
        <v>0</v>
      </c>
    </row>
    <row r="40" spans="2:9" x14ac:dyDescent="0.15">
      <c r="B40" s="5" t="s">
        <v>23</v>
      </c>
      <c r="C40" s="5" t="s">
        <v>85</v>
      </c>
      <c r="D40" s="5"/>
      <c r="E40" s="5" t="s">
        <v>136</v>
      </c>
      <c r="F40" s="5"/>
      <c r="G40" s="22" t="s">
        <v>324</v>
      </c>
      <c r="H40" s="22">
        <v>0</v>
      </c>
      <c r="I40" s="23">
        <v>0</v>
      </c>
    </row>
    <row r="41" spans="2:9" x14ac:dyDescent="0.15">
      <c r="B41" s="5" t="s">
        <v>31</v>
      </c>
      <c r="C41" s="5" t="s">
        <v>85</v>
      </c>
      <c r="D41" s="5"/>
      <c r="E41" s="5" t="s">
        <v>136</v>
      </c>
      <c r="F41" s="5"/>
      <c r="G41" s="22" t="s">
        <v>324</v>
      </c>
      <c r="H41" s="22">
        <v>0</v>
      </c>
      <c r="I41" s="23">
        <v>0</v>
      </c>
    </row>
    <row r="42" spans="2:9" x14ac:dyDescent="0.15">
      <c r="B42" s="5" t="s">
        <v>39</v>
      </c>
      <c r="C42" s="5" t="s">
        <v>85</v>
      </c>
      <c r="D42" s="5"/>
      <c r="E42" s="5" t="s">
        <v>136</v>
      </c>
      <c r="F42" s="5"/>
      <c r="G42" s="22" t="s">
        <v>324</v>
      </c>
      <c r="H42" s="22">
        <v>0</v>
      </c>
      <c r="I42" s="23">
        <v>0</v>
      </c>
    </row>
    <row r="43" spans="2:9" x14ac:dyDescent="0.15">
      <c r="B43" s="5" t="s">
        <v>47</v>
      </c>
      <c r="C43" s="5" t="s">
        <v>85</v>
      </c>
      <c r="D43" s="5"/>
      <c r="E43" s="5" t="s">
        <v>136</v>
      </c>
      <c r="F43" s="5"/>
      <c r="G43" s="22" t="s">
        <v>324</v>
      </c>
      <c r="H43" s="22">
        <v>0</v>
      </c>
      <c r="I43" s="23">
        <v>0</v>
      </c>
    </row>
    <row r="44" spans="2:9" x14ac:dyDescent="0.15">
      <c r="B44" s="5" t="s">
        <v>55</v>
      </c>
      <c r="C44" s="5" t="s">
        <v>85</v>
      </c>
      <c r="D44" s="5"/>
      <c r="E44" s="5" t="s">
        <v>136</v>
      </c>
      <c r="F44" s="5"/>
      <c r="G44" s="22" t="s">
        <v>324</v>
      </c>
      <c r="H44" s="22">
        <v>0</v>
      </c>
      <c r="I44" s="23">
        <v>0</v>
      </c>
    </row>
    <row r="45" spans="2:9" x14ac:dyDescent="0.15">
      <c r="B45" s="5" t="s">
        <v>63</v>
      </c>
      <c r="C45" s="5" t="s">
        <v>85</v>
      </c>
      <c r="D45" s="5"/>
      <c r="E45" s="5" t="s">
        <v>136</v>
      </c>
      <c r="F45" s="5"/>
      <c r="G45" s="22" t="s">
        <v>324</v>
      </c>
      <c r="H45" s="22">
        <v>0</v>
      </c>
      <c r="I45" s="23">
        <v>0</v>
      </c>
    </row>
    <row r="46" spans="2:9" x14ac:dyDescent="0.15">
      <c r="B46" s="5" t="s">
        <v>71</v>
      </c>
      <c r="C46" s="5" t="s">
        <v>85</v>
      </c>
      <c r="D46" s="5"/>
      <c r="E46" s="5" t="s">
        <v>136</v>
      </c>
      <c r="F46" s="5"/>
      <c r="G46" s="22" t="s">
        <v>324</v>
      </c>
      <c r="H46" s="22">
        <v>0</v>
      </c>
      <c r="I46" s="23">
        <v>0</v>
      </c>
    </row>
    <row r="47" spans="2:9" x14ac:dyDescent="0.15">
      <c r="B47" s="5" t="s">
        <v>140</v>
      </c>
      <c r="C47" s="5" t="s">
        <v>85</v>
      </c>
      <c r="D47" s="5"/>
      <c r="E47" s="5" t="s">
        <v>136</v>
      </c>
      <c r="F47" s="5"/>
      <c r="G47" s="22" t="s">
        <v>324</v>
      </c>
      <c r="H47" s="22">
        <v>0</v>
      </c>
      <c r="I47" s="23">
        <v>0</v>
      </c>
    </row>
    <row r="48" spans="2:9" x14ac:dyDescent="0.15">
      <c r="B48" s="5" t="s">
        <v>148</v>
      </c>
      <c r="C48" s="5" t="s">
        <v>85</v>
      </c>
      <c r="D48" s="5"/>
      <c r="E48" s="5" t="s">
        <v>136</v>
      </c>
      <c r="F48" s="5"/>
      <c r="G48" s="22" t="s">
        <v>324</v>
      </c>
      <c r="H48" s="22">
        <v>0</v>
      </c>
      <c r="I48" s="23">
        <v>0</v>
      </c>
    </row>
    <row r="49" spans="2:9" x14ac:dyDescent="0.15">
      <c r="B49" s="5" t="s">
        <v>156</v>
      </c>
      <c r="C49" s="5" t="s">
        <v>85</v>
      </c>
      <c r="D49" s="5"/>
      <c r="E49" s="5" t="s">
        <v>136</v>
      </c>
      <c r="F49" s="5"/>
      <c r="G49" s="22" t="s">
        <v>324</v>
      </c>
      <c r="H49" s="22">
        <v>0</v>
      </c>
      <c r="I49" s="23">
        <v>0</v>
      </c>
    </row>
    <row r="50" spans="2:9" x14ac:dyDescent="0.15">
      <c r="B50" s="5" t="s">
        <v>8</v>
      </c>
      <c r="C50" s="5" t="s">
        <v>85</v>
      </c>
      <c r="D50" s="5"/>
      <c r="E50" s="5" t="s">
        <v>136</v>
      </c>
      <c r="F50" s="5"/>
      <c r="G50" s="22" t="s">
        <v>324</v>
      </c>
      <c r="H50" s="22">
        <v>0</v>
      </c>
      <c r="I50" s="23">
        <v>0</v>
      </c>
    </row>
    <row r="51" spans="2:9" x14ac:dyDescent="0.15">
      <c r="B51" s="5" t="s">
        <v>16</v>
      </c>
      <c r="C51" s="5" t="s">
        <v>85</v>
      </c>
      <c r="D51" s="5"/>
      <c r="E51" s="5" t="s">
        <v>136</v>
      </c>
      <c r="F51" s="5"/>
      <c r="G51" s="22" t="s">
        <v>324</v>
      </c>
      <c r="H51" s="22">
        <v>0</v>
      </c>
      <c r="I51" s="23">
        <v>0</v>
      </c>
    </row>
    <row r="52" spans="2:9" x14ac:dyDescent="0.15">
      <c r="B52" s="5" t="s">
        <v>24</v>
      </c>
      <c r="C52" s="5" t="s">
        <v>85</v>
      </c>
      <c r="D52" s="5"/>
      <c r="E52" s="5" t="s">
        <v>136</v>
      </c>
      <c r="F52" s="5"/>
      <c r="G52" s="22" t="s">
        <v>324</v>
      </c>
      <c r="H52" s="22">
        <v>0</v>
      </c>
      <c r="I52" s="23">
        <v>0</v>
      </c>
    </row>
    <row r="53" spans="2:9" x14ac:dyDescent="0.15">
      <c r="B53" s="5" t="s">
        <v>32</v>
      </c>
      <c r="C53" s="5" t="s">
        <v>85</v>
      </c>
      <c r="D53" s="5"/>
      <c r="E53" s="5" t="s">
        <v>136</v>
      </c>
      <c r="F53" s="5"/>
      <c r="G53" s="22" t="s">
        <v>324</v>
      </c>
      <c r="H53" s="22">
        <v>0</v>
      </c>
      <c r="I53" s="23">
        <v>0</v>
      </c>
    </row>
    <row r="54" spans="2:9" x14ac:dyDescent="0.15">
      <c r="B54" s="5" t="s">
        <v>40</v>
      </c>
      <c r="C54" s="5" t="s">
        <v>85</v>
      </c>
      <c r="D54" s="5"/>
      <c r="E54" s="5" t="s">
        <v>136</v>
      </c>
      <c r="F54" s="5"/>
      <c r="G54" s="22" t="s">
        <v>324</v>
      </c>
      <c r="H54" s="22">
        <v>0</v>
      </c>
      <c r="I54" s="23">
        <v>0</v>
      </c>
    </row>
    <row r="55" spans="2:9" x14ac:dyDescent="0.15">
      <c r="B55" s="5" t="s">
        <v>48</v>
      </c>
      <c r="C55" s="5" t="s">
        <v>85</v>
      </c>
      <c r="D55" s="5"/>
      <c r="E55" s="5" t="s">
        <v>136</v>
      </c>
      <c r="F55" s="5"/>
      <c r="G55" s="22" t="s">
        <v>324</v>
      </c>
      <c r="H55" s="22">
        <v>0</v>
      </c>
      <c r="I55" s="23">
        <v>0</v>
      </c>
    </row>
    <row r="56" spans="2:9" x14ac:dyDescent="0.15">
      <c r="B56" s="5" t="s">
        <v>56</v>
      </c>
      <c r="C56" s="5" t="s">
        <v>85</v>
      </c>
      <c r="D56" s="5"/>
      <c r="E56" s="5" t="s">
        <v>136</v>
      </c>
      <c r="F56" s="5"/>
      <c r="G56" s="22" t="s">
        <v>324</v>
      </c>
      <c r="H56" s="22">
        <v>0</v>
      </c>
      <c r="I56" s="23">
        <v>0</v>
      </c>
    </row>
    <row r="57" spans="2:9" x14ac:dyDescent="0.15">
      <c r="B57" s="5" t="s">
        <v>64</v>
      </c>
      <c r="C57" s="5" t="s">
        <v>85</v>
      </c>
      <c r="D57" s="5"/>
      <c r="E57" s="5" t="s">
        <v>136</v>
      </c>
      <c r="F57" s="5"/>
      <c r="G57" s="22" t="s">
        <v>324</v>
      </c>
      <c r="H57" s="22">
        <v>0</v>
      </c>
      <c r="I57" s="23">
        <v>0</v>
      </c>
    </row>
    <row r="58" spans="2:9" x14ac:dyDescent="0.15">
      <c r="B58" s="5" t="s">
        <v>72</v>
      </c>
      <c r="C58" s="5" t="s">
        <v>85</v>
      </c>
      <c r="D58" s="5"/>
      <c r="E58" s="5" t="s">
        <v>136</v>
      </c>
      <c r="F58" s="5"/>
      <c r="G58" s="22" t="s">
        <v>324</v>
      </c>
      <c r="H58" s="22">
        <v>0</v>
      </c>
      <c r="I58" s="23">
        <v>0</v>
      </c>
    </row>
    <row r="59" spans="2:9" x14ac:dyDescent="0.15">
      <c r="B59" s="5" t="s">
        <v>141</v>
      </c>
      <c r="C59" s="5" t="s">
        <v>85</v>
      </c>
      <c r="D59" s="5"/>
      <c r="E59" s="5" t="s">
        <v>136</v>
      </c>
      <c r="F59" s="5"/>
      <c r="G59" s="22" t="s">
        <v>324</v>
      </c>
      <c r="H59" s="22">
        <v>0</v>
      </c>
      <c r="I59" s="23">
        <v>0</v>
      </c>
    </row>
    <row r="60" spans="2:9" x14ac:dyDescent="0.15">
      <c r="B60" s="5" t="s">
        <v>149</v>
      </c>
      <c r="C60" s="5" t="s">
        <v>85</v>
      </c>
      <c r="D60" s="5"/>
      <c r="E60" s="5" t="s">
        <v>136</v>
      </c>
      <c r="F60" s="5"/>
      <c r="G60" s="22" t="s">
        <v>324</v>
      </c>
      <c r="H60" s="22">
        <v>0</v>
      </c>
      <c r="I60" s="23">
        <v>0</v>
      </c>
    </row>
    <row r="61" spans="2:9" x14ac:dyDescent="0.15">
      <c r="B61" s="5" t="s">
        <v>157</v>
      </c>
      <c r="C61" s="5" t="s">
        <v>85</v>
      </c>
      <c r="D61" s="5"/>
      <c r="E61" s="5" t="s">
        <v>136</v>
      </c>
      <c r="F61" s="5"/>
      <c r="G61" s="22" t="s">
        <v>324</v>
      </c>
      <c r="H61" s="22">
        <v>0</v>
      </c>
      <c r="I61" s="23">
        <v>0</v>
      </c>
    </row>
    <row r="62" spans="2:9" x14ac:dyDescent="0.15">
      <c r="B62" s="5" t="s">
        <v>9</v>
      </c>
      <c r="C62" s="5" t="s">
        <v>85</v>
      </c>
      <c r="D62" s="5"/>
      <c r="E62" s="5" t="s">
        <v>136</v>
      </c>
      <c r="F62" s="5"/>
      <c r="G62" s="22" t="s">
        <v>324</v>
      </c>
      <c r="H62" s="22">
        <v>0</v>
      </c>
      <c r="I62" s="23">
        <v>0</v>
      </c>
    </row>
    <row r="63" spans="2:9" x14ac:dyDescent="0.15">
      <c r="B63" s="5" t="s">
        <v>17</v>
      </c>
      <c r="C63" s="5" t="s">
        <v>85</v>
      </c>
      <c r="D63" s="5"/>
      <c r="E63" s="5" t="s">
        <v>136</v>
      </c>
      <c r="F63" s="5"/>
      <c r="G63" s="22" t="s">
        <v>324</v>
      </c>
      <c r="H63" s="22">
        <v>0</v>
      </c>
      <c r="I63" s="23">
        <v>0</v>
      </c>
    </row>
    <row r="64" spans="2:9" x14ac:dyDescent="0.15">
      <c r="B64" s="5" t="s">
        <v>25</v>
      </c>
      <c r="C64" s="5" t="s">
        <v>85</v>
      </c>
      <c r="D64" s="5"/>
      <c r="E64" s="5" t="s">
        <v>136</v>
      </c>
      <c r="F64" s="5"/>
      <c r="G64" s="22" t="s">
        <v>324</v>
      </c>
      <c r="H64" s="22">
        <v>0</v>
      </c>
      <c r="I64" s="23">
        <v>0</v>
      </c>
    </row>
    <row r="65" spans="2:9" x14ac:dyDescent="0.15">
      <c r="B65" s="5" t="s">
        <v>33</v>
      </c>
      <c r="C65" s="5" t="s">
        <v>85</v>
      </c>
      <c r="D65" s="5"/>
      <c r="E65" s="5" t="s">
        <v>136</v>
      </c>
      <c r="F65" s="5"/>
      <c r="G65" s="22" t="s">
        <v>324</v>
      </c>
      <c r="H65" s="22">
        <v>0</v>
      </c>
      <c r="I65" s="23">
        <v>0</v>
      </c>
    </row>
    <row r="66" spans="2:9" x14ac:dyDescent="0.15">
      <c r="B66" s="5" t="s">
        <v>41</v>
      </c>
      <c r="C66" s="5" t="s">
        <v>85</v>
      </c>
      <c r="D66" s="5"/>
      <c r="E66" s="5" t="s">
        <v>136</v>
      </c>
      <c r="F66" s="5"/>
      <c r="G66" s="22" t="s">
        <v>324</v>
      </c>
      <c r="H66" s="22">
        <v>0</v>
      </c>
      <c r="I66" s="23">
        <v>0</v>
      </c>
    </row>
    <row r="67" spans="2:9" x14ac:dyDescent="0.15">
      <c r="B67" s="5" t="s">
        <v>49</v>
      </c>
      <c r="C67" s="5" t="s">
        <v>85</v>
      </c>
      <c r="D67" s="5"/>
      <c r="E67" s="5" t="s">
        <v>136</v>
      </c>
      <c r="F67" s="5"/>
      <c r="G67" s="22" t="s">
        <v>324</v>
      </c>
      <c r="H67" s="22">
        <v>0</v>
      </c>
      <c r="I67" s="23">
        <v>0</v>
      </c>
    </row>
    <row r="68" spans="2:9" x14ac:dyDescent="0.15">
      <c r="B68" s="5" t="s">
        <v>57</v>
      </c>
      <c r="C68" s="5" t="s">
        <v>85</v>
      </c>
      <c r="D68" s="5"/>
      <c r="E68" s="5" t="s">
        <v>136</v>
      </c>
      <c r="F68" s="5"/>
      <c r="G68" s="22" t="s">
        <v>324</v>
      </c>
      <c r="H68" s="22">
        <v>0</v>
      </c>
      <c r="I68" s="23">
        <v>0</v>
      </c>
    </row>
    <row r="69" spans="2:9" x14ac:dyDescent="0.15">
      <c r="B69" s="5" t="s">
        <v>65</v>
      </c>
      <c r="C69" s="5" t="s">
        <v>85</v>
      </c>
      <c r="D69" s="5"/>
      <c r="E69" s="5" t="s">
        <v>136</v>
      </c>
      <c r="F69" s="5"/>
      <c r="G69" s="22" t="s">
        <v>324</v>
      </c>
      <c r="H69" s="22">
        <v>0</v>
      </c>
      <c r="I69" s="23">
        <v>0</v>
      </c>
    </row>
    <row r="70" spans="2:9" x14ac:dyDescent="0.15">
      <c r="B70" s="5" t="s">
        <v>73</v>
      </c>
      <c r="C70" s="5" t="s">
        <v>85</v>
      </c>
      <c r="D70" s="5"/>
      <c r="E70" s="5" t="s">
        <v>136</v>
      </c>
      <c r="F70" s="5"/>
      <c r="G70" s="22" t="s">
        <v>324</v>
      </c>
      <c r="H70" s="22">
        <v>0</v>
      </c>
      <c r="I70" s="23">
        <v>0</v>
      </c>
    </row>
    <row r="71" spans="2:9" x14ac:dyDescent="0.15">
      <c r="B71" s="5" t="s">
        <v>142</v>
      </c>
      <c r="C71" s="5" t="s">
        <v>85</v>
      </c>
      <c r="D71" s="5"/>
      <c r="E71" s="5" t="s">
        <v>136</v>
      </c>
      <c r="F71" s="5"/>
      <c r="G71" s="22" t="s">
        <v>324</v>
      </c>
      <c r="H71" s="22">
        <v>0</v>
      </c>
      <c r="I71" s="23">
        <v>0</v>
      </c>
    </row>
    <row r="72" spans="2:9" x14ac:dyDescent="0.15">
      <c r="B72" s="5" t="s">
        <v>150</v>
      </c>
      <c r="C72" s="5" t="s">
        <v>85</v>
      </c>
      <c r="D72" s="5"/>
      <c r="E72" s="5" t="s">
        <v>136</v>
      </c>
      <c r="F72" s="5"/>
      <c r="G72" s="22" t="s">
        <v>324</v>
      </c>
      <c r="H72" s="22">
        <v>0</v>
      </c>
      <c r="I72" s="23">
        <v>0</v>
      </c>
    </row>
    <row r="73" spans="2:9" x14ac:dyDescent="0.15">
      <c r="B73" s="5" t="s">
        <v>158</v>
      </c>
      <c r="C73" s="5" t="s">
        <v>85</v>
      </c>
      <c r="D73" s="5"/>
      <c r="E73" s="5" t="s">
        <v>136</v>
      </c>
      <c r="F73" s="5"/>
      <c r="G73" s="22" t="s">
        <v>324</v>
      </c>
      <c r="H73" s="22">
        <v>0</v>
      </c>
      <c r="I73" s="23">
        <v>0</v>
      </c>
    </row>
    <row r="74" spans="2:9" x14ac:dyDescent="0.15">
      <c r="B74" s="5" t="s">
        <v>10</v>
      </c>
      <c r="C74" s="5" t="s">
        <v>85</v>
      </c>
      <c r="D74" s="5"/>
      <c r="E74" s="5" t="s">
        <v>136</v>
      </c>
      <c r="F74" s="5"/>
      <c r="G74" s="22" t="s">
        <v>324</v>
      </c>
      <c r="H74" s="22">
        <v>0</v>
      </c>
      <c r="I74" s="23">
        <v>0</v>
      </c>
    </row>
    <row r="75" spans="2:9" x14ac:dyDescent="0.15">
      <c r="B75" s="5" t="s">
        <v>18</v>
      </c>
      <c r="C75" s="5" t="s">
        <v>85</v>
      </c>
      <c r="D75" s="5"/>
      <c r="E75" s="5" t="s">
        <v>136</v>
      </c>
      <c r="F75" s="5"/>
      <c r="G75" s="22" t="s">
        <v>324</v>
      </c>
      <c r="H75" s="22">
        <v>0</v>
      </c>
      <c r="I75" s="23">
        <v>0</v>
      </c>
    </row>
    <row r="76" spans="2:9" x14ac:dyDescent="0.15">
      <c r="B76" s="5" t="s">
        <v>26</v>
      </c>
      <c r="C76" s="5" t="s">
        <v>85</v>
      </c>
      <c r="D76" s="5"/>
      <c r="E76" s="5" t="s">
        <v>136</v>
      </c>
      <c r="F76" s="5"/>
      <c r="G76" s="22" t="s">
        <v>324</v>
      </c>
      <c r="H76" s="22">
        <v>0</v>
      </c>
      <c r="I76" s="23">
        <v>0</v>
      </c>
    </row>
    <row r="77" spans="2:9" x14ac:dyDescent="0.15">
      <c r="B77" s="5" t="s">
        <v>34</v>
      </c>
      <c r="C77" s="5" t="s">
        <v>85</v>
      </c>
      <c r="D77" s="5"/>
      <c r="E77" s="5" t="s">
        <v>136</v>
      </c>
      <c r="F77" s="5"/>
      <c r="G77" s="22" t="s">
        <v>324</v>
      </c>
      <c r="H77" s="22">
        <v>0</v>
      </c>
      <c r="I77" s="23">
        <v>0</v>
      </c>
    </row>
    <row r="78" spans="2:9" x14ac:dyDescent="0.15">
      <c r="B78" s="5" t="s">
        <v>42</v>
      </c>
      <c r="C78" s="5" t="s">
        <v>85</v>
      </c>
      <c r="D78" s="5"/>
      <c r="E78" s="5" t="s">
        <v>136</v>
      </c>
      <c r="F78" s="5"/>
      <c r="G78" s="22" t="s">
        <v>324</v>
      </c>
      <c r="H78" s="22">
        <v>0</v>
      </c>
      <c r="I78" s="23">
        <v>0</v>
      </c>
    </row>
    <row r="79" spans="2:9" x14ac:dyDescent="0.15">
      <c r="B79" s="5" t="s">
        <v>50</v>
      </c>
      <c r="C79" s="5" t="s">
        <v>85</v>
      </c>
      <c r="D79" s="5"/>
      <c r="E79" s="5" t="s">
        <v>136</v>
      </c>
      <c r="F79" s="5"/>
      <c r="G79" s="22" t="s">
        <v>324</v>
      </c>
      <c r="H79" s="22">
        <v>0</v>
      </c>
      <c r="I79" s="23">
        <v>0</v>
      </c>
    </row>
    <row r="80" spans="2:9" x14ac:dyDescent="0.15">
      <c r="B80" s="5" t="s">
        <v>58</v>
      </c>
      <c r="C80" s="5" t="s">
        <v>85</v>
      </c>
      <c r="D80" s="5"/>
      <c r="E80" s="5" t="s">
        <v>136</v>
      </c>
      <c r="F80" s="5"/>
      <c r="G80" s="22" t="s">
        <v>324</v>
      </c>
      <c r="H80" s="22">
        <v>0</v>
      </c>
      <c r="I80" s="23">
        <v>0</v>
      </c>
    </row>
    <row r="81" spans="2:9" x14ac:dyDescent="0.15">
      <c r="B81" s="5" t="s">
        <v>66</v>
      </c>
      <c r="C81" s="5" t="s">
        <v>85</v>
      </c>
      <c r="D81" s="5"/>
      <c r="E81" s="5" t="s">
        <v>136</v>
      </c>
      <c r="F81" s="5"/>
      <c r="G81" s="22" t="s">
        <v>324</v>
      </c>
      <c r="H81" s="22">
        <v>0</v>
      </c>
      <c r="I81" s="23">
        <v>0</v>
      </c>
    </row>
    <row r="82" spans="2:9" x14ac:dyDescent="0.15">
      <c r="B82" s="5" t="s">
        <v>74</v>
      </c>
      <c r="C82" s="5" t="s">
        <v>85</v>
      </c>
      <c r="D82" s="5"/>
      <c r="E82" s="5" t="s">
        <v>136</v>
      </c>
      <c r="F82" s="5"/>
      <c r="G82" s="22" t="s">
        <v>324</v>
      </c>
      <c r="H82" s="22">
        <v>0</v>
      </c>
      <c r="I82" s="23">
        <v>0</v>
      </c>
    </row>
    <row r="83" spans="2:9" x14ac:dyDescent="0.15">
      <c r="B83" s="5" t="s">
        <v>143</v>
      </c>
      <c r="C83" s="5" t="s">
        <v>85</v>
      </c>
      <c r="D83" s="5"/>
      <c r="E83" s="5" t="s">
        <v>136</v>
      </c>
      <c r="F83" s="5"/>
      <c r="G83" s="22" t="s">
        <v>324</v>
      </c>
      <c r="H83" s="22">
        <v>0</v>
      </c>
      <c r="I83" s="23">
        <v>0</v>
      </c>
    </row>
    <row r="84" spans="2:9" x14ac:dyDescent="0.15">
      <c r="B84" s="5" t="s">
        <v>151</v>
      </c>
      <c r="C84" s="5" t="s">
        <v>85</v>
      </c>
      <c r="D84" s="5"/>
      <c r="E84" s="5" t="s">
        <v>136</v>
      </c>
      <c r="F84" s="5"/>
      <c r="G84" s="22" t="s">
        <v>324</v>
      </c>
      <c r="H84" s="22">
        <v>0</v>
      </c>
      <c r="I84" s="23">
        <v>0</v>
      </c>
    </row>
    <row r="85" spans="2:9" x14ac:dyDescent="0.15">
      <c r="B85" s="5" t="s">
        <v>159</v>
      </c>
      <c r="C85" s="5" t="s">
        <v>85</v>
      </c>
      <c r="D85" s="5"/>
      <c r="E85" s="5" t="s">
        <v>136</v>
      </c>
      <c r="F85" s="5"/>
      <c r="G85" s="22" t="s">
        <v>324</v>
      </c>
      <c r="H85" s="22">
        <v>0</v>
      </c>
      <c r="I85" s="23">
        <v>0</v>
      </c>
    </row>
    <row r="86" spans="2:9" x14ac:dyDescent="0.15">
      <c r="B86" s="5" t="s">
        <v>11</v>
      </c>
      <c r="C86" s="5" t="s">
        <v>85</v>
      </c>
      <c r="D86" s="5"/>
      <c r="E86" s="5" t="s">
        <v>136</v>
      </c>
      <c r="F86" s="5"/>
      <c r="G86" s="22" t="s">
        <v>324</v>
      </c>
      <c r="H86" s="22">
        <v>0</v>
      </c>
      <c r="I86" s="23">
        <v>0</v>
      </c>
    </row>
    <row r="87" spans="2:9" x14ac:dyDescent="0.15">
      <c r="B87" s="5" t="s">
        <v>19</v>
      </c>
      <c r="C87" s="5" t="s">
        <v>85</v>
      </c>
      <c r="D87" s="5"/>
      <c r="E87" s="5" t="s">
        <v>136</v>
      </c>
      <c r="F87" s="5"/>
      <c r="G87" s="22" t="s">
        <v>324</v>
      </c>
      <c r="H87" s="22">
        <v>0</v>
      </c>
      <c r="I87" s="23">
        <v>0</v>
      </c>
    </row>
    <row r="88" spans="2:9" x14ac:dyDescent="0.15">
      <c r="B88" s="5" t="s">
        <v>27</v>
      </c>
      <c r="C88" s="5" t="s">
        <v>85</v>
      </c>
      <c r="D88" s="5"/>
      <c r="E88" s="5" t="s">
        <v>136</v>
      </c>
      <c r="F88" s="5"/>
      <c r="G88" s="22" t="s">
        <v>324</v>
      </c>
      <c r="H88" s="22">
        <v>0</v>
      </c>
      <c r="I88" s="23">
        <v>0</v>
      </c>
    </row>
    <row r="89" spans="2:9" x14ac:dyDescent="0.15">
      <c r="B89" s="5" t="s">
        <v>35</v>
      </c>
      <c r="C89" s="5" t="s">
        <v>85</v>
      </c>
      <c r="D89" s="5"/>
      <c r="E89" s="5" t="s">
        <v>136</v>
      </c>
      <c r="F89" s="5"/>
      <c r="G89" s="22" t="s">
        <v>324</v>
      </c>
      <c r="H89" s="22">
        <v>0</v>
      </c>
      <c r="I89" s="23">
        <v>0</v>
      </c>
    </row>
    <row r="90" spans="2:9" x14ac:dyDescent="0.15">
      <c r="B90" s="5" t="s">
        <v>43</v>
      </c>
      <c r="C90" s="5" t="s">
        <v>85</v>
      </c>
      <c r="D90" s="5"/>
      <c r="E90" s="5" t="s">
        <v>136</v>
      </c>
      <c r="F90" s="5"/>
      <c r="G90" s="22" t="s">
        <v>324</v>
      </c>
      <c r="H90" s="22">
        <v>0</v>
      </c>
      <c r="I90" s="23">
        <v>0</v>
      </c>
    </row>
    <row r="91" spans="2:9" x14ac:dyDescent="0.15">
      <c r="B91" s="5" t="s">
        <v>51</v>
      </c>
      <c r="C91" s="5" t="s">
        <v>85</v>
      </c>
      <c r="D91" s="5"/>
      <c r="E91" s="5" t="s">
        <v>136</v>
      </c>
      <c r="F91" s="5"/>
      <c r="G91" s="22" t="s">
        <v>324</v>
      </c>
      <c r="H91" s="22">
        <v>0</v>
      </c>
      <c r="I91" s="23">
        <v>0</v>
      </c>
    </row>
    <row r="92" spans="2:9" x14ac:dyDescent="0.15">
      <c r="B92" s="5" t="s">
        <v>59</v>
      </c>
      <c r="C92" s="5" t="s">
        <v>85</v>
      </c>
      <c r="D92" s="5"/>
      <c r="E92" s="5" t="s">
        <v>136</v>
      </c>
      <c r="F92" s="5"/>
      <c r="G92" s="22" t="s">
        <v>324</v>
      </c>
      <c r="H92" s="22">
        <v>0</v>
      </c>
      <c r="I92" s="23">
        <v>0</v>
      </c>
    </row>
    <row r="93" spans="2:9" x14ac:dyDescent="0.15">
      <c r="B93" s="5" t="s">
        <v>67</v>
      </c>
      <c r="C93" s="5" t="s">
        <v>85</v>
      </c>
      <c r="D93" s="5"/>
      <c r="E93" s="5" t="s">
        <v>136</v>
      </c>
      <c r="F93" s="5"/>
      <c r="G93" s="22" t="s">
        <v>324</v>
      </c>
      <c r="H93" s="22">
        <v>0</v>
      </c>
      <c r="I93" s="23">
        <v>0</v>
      </c>
    </row>
    <row r="94" spans="2:9" x14ac:dyDescent="0.15">
      <c r="B94" s="5" t="s">
        <v>75</v>
      </c>
      <c r="C94" s="5" t="s">
        <v>85</v>
      </c>
      <c r="D94" s="5"/>
      <c r="E94" s="5" t="s">
        <v>136</v>
      </c>
      <c r="F94" s="5"/>
      <c r="G94" s="22" t="s">
        <v>324</v>
      </c>
      <c r="H94" s="22">
        <v>0</v>
      </c>
      <c r="I94" s="23">
        <v>0</v>
      </c>
    </row>
    <row r="95" spans="2:9" x14ac:dyDescent="0.15">
      <c r="B95" s="5" t="s">
        <v>144</v>
      </c>
      <c r="C95" s="5" t="s">
        <v>85</v>
      </c>
      <c r="D95" s="5"/>
      <c r="E95" s="5" t="s">
        <v>136</v>
      </c>
      <c r="F95" s="5"/>
      <c r="G95" s="22" t="s">
        <v>324</v>
      </c>
      <c r="H95" s="22">
        <v>0</v>
      </c>
      <c r="I95" s="23">
        <v>0</v>
      </c>
    </row>
    <row r="96" spans="2:9" x14ac:dyDescent="0.15">
      <c r="B96" s="5" t="s">
        <v>152</v>
      </c>
      <c r="C96" s="5" t="s">
        <v>85</v>
      </c>
      <c r="D96" s="5"/>
      <c r="E96" s="5" t="s">
        <v>136</v>
      </c>
      <c r="F96" s="5"/>
      <c r="G96" s="22" t="s">
        <v>324</v>
      </c>
      <c r="H96" s="22">
        <v>0</v>
      </c>
      <c r="I96" s="23">
        <v>0</v>
      </c>
    </row>
    <row r="97" spans="2:9" x14ac:dyDescent="0.15">
      <c r="B97" s="5" t="s">
        <v>160</v>
      </c>
      <c r="C97" s="5" t="s">
        <v>85</v>
      </c>
      <c r="D97" s="5"/>
      <c r="E97" s="5" t="s">
        <v>136</v>
      </c>
      <c r="F97" s="5"/>
      <c r="G97" s="22" t="s">
        <v>324</v>
      </c>
      <c r="H97" s="22">
        <v>0</v>
      </c>
      <c r="I97" s="23">
        <v>0</v>
      </c>
    </row>
    <row r="98" spans="2:9" x14ac:dyDescent="0.15">
      <c r="B98" s="5" t="s">
        <v>2</v>
      </c>
      <c r="C98" s="5" t="s">
        <v>3</v>
      </c>
      <c r="D98" s="5"/>
      <c r="E98" s="5" t="s">
        <v>136</v>
      </c>
      <c r="F98" s="5"/>
      <c r="G98" s="22" t="s">
        <v>324</v>
      </c>
      <c r="H98" s="22">
        <v>0</v>
      </c>
      <c r="I98" s="23">
        <v>0</v>
      </c>
    </row>
    <row r="99" spans="2:9" x14ac:dyDescent="0.15">
      <c r="B99" s="5" t="s">
        <v>12</v>
      </c>
      <c r="C99" s="5" t="s">
        <v>3</v>
      </c>
      <c r="D99" s="5"/>
      <c r="E99" s="5" t="s">
        <v>136</v>
      </c>
      <c r="F99" s="5"/>
      <c r="G99" s="22" t="s">
        <v>324</v>
      </c>
      <c r="H99" s="22">
        <v>0</v>
      </c>
      <c r="I99" s="23">
        <v>0</v>
      </c>
    </row>
    <row r="100" spans="2:9" x14ac:dyDescent="0.15">
      <c r="B100" s="5" t="s">
        <v>20</v>
      </c>
      <c r="C100" s="5" t="s">
        <v>3</v>
      </c>
      <c r="D100" s="5"/>
      <c r="E100" s="5" t="s">
        <v>136</v>
      </c>
      <c r="F100" s="5"/>
      <c r="G100" s="22" t="s">
        <v>324</v>
      </c>
      <c r="H100" s="22">
        <v>0</v>
      </c>
      <c r="I100" s="23">
        <v>0</v>
      </c>
    </row>
    <row r="101" spans="2:9" x14ac:dyDescent="0.15">
      <c r="B101" s="5" t="s">
        <v>28</v>
      </c>
      <c r="C101" s="5" t="s">
        <v>3</v>
      </c>
      <c r="D101" s="5"/>
      <c r="E101" s="5" t="s">
        <v>136</v>
      </c>
      <c r="F101" s="5"/>
      <c r="G101" s="22" t="s">
        <v>324</v>
      </c>
      <c r="H101" s="22">
        <v>0</v>
      </c>
      <c r="I101" s="23">
        <v>0</v>
      </c>
    </row>
    <row r="102" spans="2:9" x14ac:dyDescent="0.15">
      <c r="B102" s="5" t="s">
        <v>36</v>
      </c>
      <c r="C102" s="5" t="s">
        <v>3</v>
      </c>
      <c r="D102" s="5"/>
      <c r="E102" s="5" t="s">
        <v>136</v>
      </c>
      <c r="F102" s="5"/>
      <c r="G102" s="22" t="s">
        <v>324</v>
      </c>
      <c r="H102" s="22">
        <v>0</v>
      </c>
      <c r="I102" s="23">
        <v>0</v>
      </c>
    </row>
    <row r="103" spans="2:9" x14ac:dyDescent="0.15">
      <c r="B103" s="5" t="s">
        <v>44</v>
      </c>
      <c r="C103" s="5" t="s">
        <v>3</v>
      </c>
      <c r="D103" s="5"/>
      <c r="E103" s="5" t="s">
        <v>136</v>
      </c>
      <c r="F103" s="5"/>
      <c r="G103" s="22" t="s">
        <v>324</v>
      </c>
      <c r="H103" s="22">
        <v>0</v>
      </c>
      <c r="I103" s="23">
        <v>0</v>
      </c>
    </row>
    <row r="104" spans="2:9" x14ac:dyDescent="0.15">
      <c r="B104" s="5" t="s">
        <v>52</v>
      </c>
      <c r="C104" s="5" t="s">
        <v>3</v>
      </c>
      <c r="D104" s="5"/>
      <c r="E104" s="5" t="s">
        <v>136</v>
      </c>
      <c r="F104" s="5"/>
      <c r="G104" s="22" t="s">
        <v>324</v>
      </c>
      <c r="H104" s="22">
        <v>0</v>
      </c>
      <c r="I104" s="23">
        <v>0</v>
      </c>
    </row>
    <row r="105" spans="2:9" x14ac:dyDescent="0.15">
      <c r="B105" s="5" t="s">
        <v>60</v>
      </c>
      <c r="C105" s="5" t="s">
        <v>3</v>
      </c>
      <c r="D105" s="5"/>
      <c r="E105" s="5" t="s">
        <v>136</v>
      </c>
      <c r="F105" s="5"/>
      <c r="G105" s="22" t="s">
        <v>324</v>
      </c>
      <c r="H105" s="22">
        <v>0</v>
      </c>
      <c r="I105" s="23">
        <v>0</v>
      </c>
    </row>
    <row r="106" spans="2:9" x14ac:dyDescent="0.15">
      <c r="B106" s="5" t="s">
        <v>68</v>
      </c>
      <c r="C106" s="5" t="s">
        <v>3</v>
      </c>
      <c r="D106" s="5"/>
      <c r="E106" s="5" t="s">
        <v>136</v>
      </c>
      <c r="F106" s="5"/>
      <c r="G106" s="22" t="s">
        <v>324</v>
      </c>
      <c r="H106" s="22">
        <v>0</v>
      </c>
      <c r="I106" s="23">
        <v>0</v>
      </c>
    </row>
    <row r="107" spans="2:9" x14ac:dyDescent="0.15">
      <c r="B107" s="5" t="s">
        <v>137</v>
      </c>
      <c r="C107" s="5" t="s">
        <v>3</v>
      </c>
      <c r="D107" s="5"/>
      <c r="E107" s="5" t="s">
        <v>136</v>
      </c>
      <c r="F107" s="5"/>
      <c r="G107" s="22" t="s">
        <v>324</v>
      </c>
      <c r="H107" s="22">
        <v>0</v>
      </c>
      <c r="I107" s="23">
        <v>0</v>
      </c>
    </row>
    <row r="108" spans="2:9" x14ac:dyDescent="0.15">
      <c r="B108" s="5" t="s">
        <v>145</v>
      </c>
      <c r="C108" s="5" t="s">
        <v>3</v>
      </c>
      <c r="D108" s="5"/>
      <c r="E108" s="5" t="s">
        <v>136</v>
      </c>
      <c r="F108" s="5"/>
      <c r="G108" s="22" t="s">
        <v>324</v>
      </c>
      <c r="H108" s="22">
        <v>0</v>
      </c>
      <c r="I108" s="23">
        <v>0</v>
      </c>
    </row>
    <row r="109" spans="2:9" x14ac:dyDescent="0.15">
      <c r="B109" s="5" t="s">
        <v>153</v>
      </c>
      <c r="C109" s="5" t="s">
        <v>3</v>
      </c>
      <c r="D109" s="5"/>
      <c r="E109" s="5" t="s">
        <v>136</v>
      </c>
      <c r="F109" s="5"/>
      <c r="G109" s="22" t="s">
        <v>324</v>
      </c>
      <c r="H109" s="22">
        <v>0</v>
      </c>
      <c r="I109" s="23">
        <v>0</v>
      </c>
    </row>
    <row r="110" spans="2:9" x14ac:dyDescent="0.15">
      <c r="B110" s="5" t="s">
        <v>5</v>
      </c>
      <c r="C110" s="5" t="s">
        <v>3</v>
      </c>
      <c r="D110" s="5"/>
      <c r="E110" s="5" t="s">
        <v>136</v>
      </c>
      <c r="F110" s="5"/>
      <c r="G110" s="22" t="s">
        <v>324</v>
      </c>
      <c r="H110" s="22">
        <v>0</v>
      </c>
      <c r="I110" s="23">
        <v>0</v>
      </c>
    </row>
    <row r="111" spans="2:9" x14ac:dyDescent="0.15">
      <c r="B111" s="5" t="s">
        <v>13</v>
      </c>
      <c r="C111" s="5" t="s">
        <v>3</v>
      </c>
      <c r="D111" s="5"/>
      <c r="E111" s="5" t="s">
        <v>136</v>
      </c>
      <c r="F111" s="5"/>
      <c r="G111" s="22" t="s">
        <v>324</v>
      </c>
      <c r="H111" s="22">
        <v>0</v>
      </c>
      <c r="I111" s="23">
        <v>0</v>
      </c>
    </row>
    <row r="112" spans="2:9" x14ac:dyDescent="0.15">
      <c r="B112" s="5" t="s">
        <v>21</v>
      </c>
      <c r="C112" s="5" t="s">
        <v>3</v>
      </c>
      <c r="D112" s="5"/>
      <c r="E112" s="5" t="s">
        <v>136</v>
      </c>
      <c r="F112" s="5"/>
      <c r="G112" s="22" t="s">
        <v>324</v>
      </c>
      <c r="H112" s="22">
        <v>0</v>
      </c>
      <c r="I112" s="23">
        <v>0</v>
      </c>
    </row>
    <row r="113" spans="2:9" x14ac:dyDescent="0.15">
      <c r="B113" s="5" t="s">
        <v>29</v>
      </c>
      <c r="C113" s="5" t="s">
        <v>3</v>
      </c>
      <c r="D113" s="5"/>
      <c r="E113" s="5" t="s">
        <v>136</v>
      </c>
      <c r="F113" s="5"/>
      <c r="G113" s="22" t="s">
        <v>324</v>
      </c>
      <c r="H113" s="22">
        <v>0</v>
      </c>
      <c r="I113" s="23">
        <v>0</v>
      </c>
    </row>
    <row r="114" spans="2:9" x14ac:dyDescent="0.15">
      <c r="B114" s="5" t="s">
        <v>37</v>
      </c>
      <c r="C114" s="5" t="s">
        <v>3</v>
      </c>
      <c r="D114" s="5"/>
      <c r="E114" s="5" t="s">
        <v>136</v>
      </c>
      <c r="F114" s="5"/>
      <c r="G114" s="22" t="s">
        <v>324</v>
      </c>
      <c r="H114" s="22">
        <v>0</v>
      </c>
      <c r="I114" s="23">
        <v>0</v>
      </c>
    </row>
    <row r="115" spans="2:9" x14ac:dyDescent="0.15">
      <c r="B115" s="5" t="s">
        <v>45</v>
      </c>
      <c r="C115" s="5" t="s">
        <v>3</v>
      </c>
      <c r="D115" s="5"/>
      <c r="E115" s="5" t="s">
        <v>136</v>
      </c>
      <c r="F115" s="5"/>
      <c r="G115" s="22" t="s">
        <v>324</v>
      </c>
      <c r="H115" s="22">
        <v>0</v>
      </c>
      <c r="I115" s="23">
        <v>0</v>
      </c>
    </row>
    <row r="116" spans="2:9" x14ac:dyDescent="0.15">
      <c r="B116" s="5" t="s">
        <v>53</v>
      </c>
      <c r="C116" s="5" t="s">
        <v>3</v>
      </c>
      <c r="D116" s="5"/>
      <c r="E116" s="5" t="s">
        <v>136</v>
      </c>
      <c r="F116" s="5"/>
      <c r="G116" s="22" t="s">
        <v>324</v>
      </c>
      <c r="H116" s="22">
        <v>0</v>
      </c>
      <c r="I116" s="23">
        <v>0</v>
      </c>
    </row>
    <row r="117" spans="2:9" x14ac:dyDescent="0.15">
      <c r="B117" s="5" t="s">
        <v>61</v>
      </c>
      <c r="C117" s="5" t="s">
        <v>3</v>
      </c>
      <c r="D117" s="5"/>
      <c r="E117" s="5" t="s">
        <v>136</v>
      </c>
      <c r="F117" s="5"/>
      <c r="G117" s="22" t="s">
        <v>324</v>
      </c>
      <c r="H117" s="22">
        <v>0</v>
      </c>
      <c r="I117" s="23">
        <v>0</v>
      </c>
    </row>
    <row r="118" spans="2:9" x14ac:dyDescent="0.15">
      <c r="B118" s="5" t="s">
        <v>69</v>
      </c>
      <c r="C118" s="5" t="s">
        <v>3</v>
      </c>
      <c r="D118" s="5"/>
      <c r="E118" s="5" t="s">
        <v>136</v>
      </c>
      <c r="F118" s="5"/>
      <c r="G118" s="22" t="s">
        <v>324</v>
      </c>
      <c r="H118" s="22">
        <v>0</v>
      </c>
      <c r="I118" s="23">
        <v>0</v>
      </c>
    </row>
    <row r="119" spans="2:9" x14ac:dyDescent="0.15">
      <c r="B119" s="5" t="s">
        <v>138</v>
      </c>
      <c r="C119" s="5" t="s">
        <v>3</v>
      </c>
      <c r="D119" s="5"/>
      <c r="E119" s="5" t="s">
        <v>136</v>
      </c>
      <c r="F119" s="5"/>
      <c r="G119" s="22" t="s">
        <v>324</v>
      </c>
      <c r="H119" s="22">
        <v>0</v>
      </c>
      <c r="I119" s="23">
        <v>0</v>
      </c>
    </row>
    <row r="120" spans="2:9" x14ac:dyDescent="0.15">
      <c r="B120" s="5" t="s">
        <v>146</v>
      </c>
      <c r="C120" s="5" t="s">
        <v>3</v>
      </c>
      <c r="D120" s="5"/>
      <c r="E120" s="5" t="s">
        <v>136</v>
      </c>
      <c r="F120" s="5"/>
      <c r="G120" s="22" t="s">
        <v>324</v>
      </c>
      <c r="H120" s="22">
        <v>0</v>
      </c>
      <c r="I120" s="23">
        <v>0</v>
      </c>
    </row>
    <row r="121" spans="2:9" x14ac:dyDescent="0.15">
      <c r="B121" s="5" t="s">
        <v>154</v>
      </c>
      <c r="C121" s="5" t="s">
        <v>3</v>
      </c>
      <c r="D121" s="5"/>
      <c r="E121" s="5" t="s">
        <v>136</v>
      </c>
      <c r="F121" s="5"/>
      <c r="G121" s="22" t="s">
        <v>324</v>
      </c>
      <c r="H121" s="22">
        <v>0</v>
      </c>
      <c r="I121" s="23">
        <v>0</v>
      </c>
    </row>
    <row r="122" spans="2:9" x14ac:dyDescent="0.15">
      <c r="B122" s="5" t="s">
        <v>6</v>
      </c>
      <c r="C122" s="5" t="s">
        <v>3</v>
      </c>
      <c r="D122" s="5"/>
      <c r="E122" s="5" t="s">
        <v>136</v>
      </c>
      <c r="F122" s="5"/>
      <c r="G122" s="22" t="s">
        <v>324</v>
      </c>
      <c r="H122" s="22">
        <v>0</v>
      </c>
      <c r="I122" s="23">
        <v>0</v>
      </c>
    </row>
    <row r="123" spans="2:9" x14ac:dyDescent="0.15">
      <c r="B123" s="5" t="s">
        <v>14</v>
      </c>
      <c r="C123" s="5" t="s">
        <v>3</v>
      </c>
      <c r="D123" s="5"/>
      <c r="E123" s="5" t="s">
        <v>136</v>
      </c>
      <c r="F123" s="5"/>
      <c r="G123" s="22" t="s">
        <v>324</v>
      </c>
      <c r="H123" s="22">
        <v>0</v>
      </c>
      <c r="I123" s="23">
        <v>0</v>
      </c>
    </row>
    <row r="124" spans="2:9" x14ac:dyDescent="0.15">
      <c r="B124" s="5" t="s">
        <v>22</v>
      </c>
      <c r="C124" s="5" t="s">
        <v>3</v>
      </c>
      <c r="D124" s="5"/>
      <c r="E124" s="5" t="s">
        <v>136</v>
      </c>
      <c r="F124" s="5"/>
      <c r="G124" s="22" t="s">
        <v>324</v>
      </c>
      <c r="H124" s="22">
        <v>0</v>
      </c>
      <c r="I124" s="23">
        <v>0</v>
      </c>
    </row>
    <row r="125" spans="2:9" x14ac:dyDescent="0.15">
      <c r="B125" s="5" t="s">
        <v>30</v>
      </c>
      <c r="C125" s="5" t="s">
        <v>3</v>
      </c>
      <c r="D125" s="5"/>
      <c r="E125" s="5" t="s">
        <v>136</v>
      </c>
      <c r="F125" s="5"/>
      <c r="G125" s="22" t="s">
        <v>324</v>
      </c>
      <c r="H125" s="22">
        <v>0</v>
      </c>
      <c r="I125" s="23">
        <v>0</v>
      </c>
    </row>
    <row r="126" spans="2:9" x14ac:dyDescent="0.15">
      <c r="B126" s="5" t="s">
        <v>38</v>
      </c>
      <c r="C126" s="5" t="s">
        <v>3</v>
      </c>
      <c r="D126" s="5"/>
      <c r="E126" s="5" t="s">
        <v>136</v>
      </c>
      <c r="F126" s="5"/>
      <c r="G126" s="22" t="s">
        <v>324</v>
      </c>
      <c r="H126" s="22">
        <v>0</v>
      </c>
      <c r="I126" s="23">
        <v>0</v>
      </c>
    </row>
    <row r="127" spans="2:9" x14ac:dyDescent="0.15">
      <c r="B127" s="5" t="s">
        <v>46</v>
      </c>
      <c r="C127" s="5" t="s">
        <v>3</v>
      </c>
      <c r="D127" s="5"/>
      <c r="E127" s="5" t="s">
        <v>136</v>
      </c>
      <c r="F127" s="5"/>
      <c r="G127" s="22" t="s">
        <v>324</v>
      </c>
      <c r="H127" s="22">
        <v>0</v>
      </c>
      <c r="I127" s="23">
        <v>0</v>
      </c>
    </row>
    <row r="128" spans="2:9" x14ac:dyDescent="0.15">
      <c r="B128" s="5" t="s">
        <v>54</v>
      </c>
      <c r="C128" s="5" t="s">
        <v>3</v>
      </c>
      <c r="D128" s="5"/>
      <c r="E128" s="5" t="s">
        <v>136</v>
      </c>
      <c r="F128" s="5"/>
      <c r="G128" s="22" t="s">
        <v>324</v>
      </c>
      <c r="H128" s="22">
        <v>0</v>
      </c>
      <c r="I128" s="23">
        <v>0</v>
      </c>
    </row>
    <row r="129" spans="2:9" x14ac:dyDescent="0.15">
      <c r="B129" s="5" t="s">
        <v>62</v>
      </c>
      <c r="C129" s="5" t="s">
        <v>3</v>
      </c>
      <c r="D129" s="5"/>
      <c r="E129" s="5" t="s">
        <v>136</v>
      </c>
      <c r="F129" s="5"/>
      <c r="G129" s="22" t="s">
        <v>324</v>
      </c>
      <c r="H129" s="22">
        <v>0</v>
      </c>
      <c r="I129" s="23">
        <v>0</v>
      </c>
    </row>
    <row r="130" spans="2:9" x14ac:dyDescent="0.15">
      <c r="B130" s="5" t="s">
        <v>70</v>
      </c>
      <c r="C130" s="5" t="s">
        <v>3</v>
      </c>
      <c r="D130" s="5"/>
      <c r="E130" s="5" t="s">
        <v>136</v>
      </c>
      <c r="F130" s="5"/>
      <c r="G130" s="22" t="s">
        <v>324</v>
      </c>
      <c r="H130" s="22">
        <v>0</v>
      </c>
      <c r="I130" s="23">
        <v>0</v>
      </c>
    </row>
    <row r="131" spans="2:9" x14ac:dyDescent="0.15">
      <c r="B131" s="5" t="s">
        <v>139</v>
      </c>
      <c r="C131" s="5" t="s">
        <v>3</v>
      </c>
      <c r="D131" s="5"/>
      <c r="E131" s="5" t="s">
        <v>136</v>
      </c>
      <c r="F131" s="5"/>
      <c r="G131" s="22" t="s">
        <v>324</v>
      </c>
      <c r="H131" s="22">
        <v>0</v>
      </c>
      <c r="I131" s="23">
        <v>0</v>
      </c>
    </row>
    <row r="132" spans="2:9" x14ac:dyDescent="0.15">
      <c r="B132" s="5" t="s">
        <v>147</v>
      </c>
      <c r="C132" s="5" t="s">
        <v>3</v>
      </c>
      <c r="D132" s="5"/>
      <c r="E132" s="5" t="s">
        <v>136</v>
      </c>
      <c r="F132" s="5"/>
      <c r="G132" s="22" t="s">
        <v>324</v>
      </c>
      <c r="H132" s="22">
        <v>0</v>
      </c>
      <c r="I132" s="23">
        <v>0</v>
      </c>
    </row>
    <row r="133" spans="2:9" x14ac:dyDescent="0.15">
      <c r="B133" s="5" t="s">
        <v>155</v>
      </c>
      <c r="C133" s="5" t="s">
        <v>3</v>
      </c>
      <c r="D133" s="5"/>
      <c r="E133" s="5" t="s">
        <v>136</v>
      </c>
      <c r="F133" s="5"/>
      <c r="G133" s="22" t="s">
        <v>324</v>
      </c>
      <c r="H133" s="22">
        <v>0</v>
      </c>
      <c r="I133" s="23">
        <v>0</v>
      </c>
    </row>
    <row r="134" spans="2:9" x14ac:dyDescent="0.15">
      <c r="B134" s="5" t="s">
        <v>7</v>
      </c>
      <c r="C134" s="5" t="s">
        <v>3</v>
      </c>
      <c r="D134" s="5"/>
      <c r="E134" s="5" t="s">
        <v>136</v>
      </c>
      <c r="F134" s="5"/>
      <c r="G134" s="22" t="s">
        <v>324</v>
      </c>
      <c r="H134" s="22">
        <v>0</v>
      </c>
      <c r="I134" s="23">
        <v>0</v>
      </c>
    </row>
    <row r="135" spans="2:9" x14ac:dyDescent="0.15">
      <c r="B135" s="5" t="s">
        <v>15</v>
      </c>
      <c r="C135" s="5" t="s">
        <v>3</v>
      </c>
      <c r="D135" s="5"/>
      <c r="E135" s="5" t="s">
        <v>136</v>
      </c>
      <c r="F135" s="5"/>
      <c r="G135" s="22" t="s">
        <v>324</v>
      </c>
      <c r="H135" s="22">
        <v>0</v>
      </c>
      <c r="I135" s="23">
        <v>0</v>
      </c>
    </row>
    <row r="136" spans="2:9" x14ac:dyDescent="0.15">
      <c r="B136" s="5" t="s">
        <v>23</v>
      </c>
      <c r="C136" s="5" t="s">
        <v>3</v>
      </c>
      <c r="D136" s="5"/>
      <c r="E136" s="5" t="s">
        <v>136</v>
      </c>
      <c r="F136" s="5"/>
      <c r="G136" s="22" t="s">
        <v>324</v>
      </c>
      <c r="H136" s="22">
        <v>0</v>
      </c>
      <c r="I136" s="23">
        <v>0</v>
      </c>
    </row>
    <row r="137" spans="2:9" x14ac:dyDescent="0.15">
      <c r="B137" s="5" t="s">
        <v>31</v>
      </c>
      <c r="C137" s="5" t="s">
        <v>3</v>
      </c>
      <c r="D137" s="5"/>
      <c r="E137" s="5" t="s">
        <v>136</v>
      </c>
      <c r="F137" s="5"/>
      <c r="G137" s="22" t="s">
        <v>324</v>
      </c>
      <c r="H137" s="22">
        <v>0</v>
      </c>
      <c r="I137" s="23">
        <v>0</v>
      </c>
    </row>
    <row r="138" spans="2:9" x14ac:dyDescent="0.15">
      <c r="B138" s="5" t="s">
        <v>39</v>
      </c>
      <c r="C138" s="5" t="s">
        <v>3</v>
      </c>
      <c r="D138" s="5"/>
      <c r="E138" s="5" t="s">
        <v>136</v>
      </c>
      <c r="F138" s="5"/>
      <c r="G138" s="22" t="s">
        <v>324</v>
      </c>
      <c r="H138" s="22">
        <v>0</v>
      </c>
      <c r="I138" s="23">
        <v>0</v>
      </c>
    </row>
    <row r="139" spans="2:9" x14ac:dyDescent="0.15">
      <c r="B139" s="5" t="s">
        <v>47</v>
      </c>
      <c r="C139" s="5" t="s">
        <v>3</v>
      </c>
      <c r="D139" s="5"/>
      <c r="E139" s="5" t="s">
        <v>136</v>
      </c>
      <c r="F139" s="5"/>
      <c r="G139" s="22" t="s">
        <v>324</v>
      </c>
      <c r="H139" s="22">
        <v>0</v>
      </c>
      <c r="I139" s="23">
        <v>0</v>
      </c>
    </row>
    <row r="140" spans="2:9" x14ac:dyDescent="0.15">
      <c r="B140" s="5" t="s">
        <v>55</v>
      </c>
      <c r="C140" s="5" t="s">
        <v>3</v>
      </c>
      <c r="D140" s="5"/>
      <c r="E140" s="5" t="s">
        <v>136</v>
      </c>
      <c r="F140" s="5"/>
      <c r="G140" s="22" t="s">
        <v>324</v>
      </c>
      <c r="H140" s="22">
        <v>0</v>
      </c>
      <c r="I140" s="23">
        <v>0</v>
      </c>
    </row>
    <row r="141" spans="2:9" x14ac:dyDescent="0.15">
      <c r="B141" s="5" t="s">
        <v>63</v>
      </c>
      <c r="C141" s="5" t="s">
        <v>3</v>
      </c>
      <c r="D141" s="5"/>
      <c r="E141" s="5" t="s">
        <v>136</v>
      </c>
      <c r="F141" s="5"/>
      <c r="G141" s="22" t="s">
        <v>324</v>
      </c>
      <c r="H141" s="22">
        <v>0</v>
      </c>
      <c r="I141" s="23">
        <v>0</v>
      </c>
    </row>
    <row r="142" spans="2:9" x14ac:dyDescent="0.15">
      <c r="B142" s="5" t="s">
        <v>71</v>
      </c>
      <c r="C142" s="5" t="s">
        <v>3</v>
      </c>
      <c r="D142" s="5"/>
      <c r="E142" s="5" t="s">
        <v>136</v>
      </c>
      <c r="F142" s="5"/>
      <c r="G142" s="22" t="s">
        <v>324</v>
      </c>
      <c r="H142" s="22">
        <v>0</v>
      </c>
      <c r="I142" s="23">
        <v>0</v>
      </c>
    </row>
    <row r="143" spans="2:9" x14ac:dyDescent="0.15">
      <c r="B143" s="5" t="s">
        <v>140</v>
      </c>
      <c r="C143" s="5" t="s">
        <v>3</v>
      </c>
      <c r="D143" s="5"/>
      <c r="E143" s="5" t="s">
        <v>136</v>
      </c>
      <c r="F143" s="5"/>
      <c r="G143" s="22" t="s">
        <v>324</v>
      </c>
      <c r="H143" s="22">
        <v>0</v>
      </c>
      <c r="I143" s="23">
        <v>0</v>
      </c>
    </row>
    <row r="144" spans="2:9" x14ac:dyDescent="0.15">
      <c r="B144" s="5" t="s">
        <v>148</v>
      </c>
      <c r="C144" s="5" t="s">
        <v>3</v>
      </c>
      <c r="D144" s="5"/>
      <c r="E144" s="5" t="s">
        <v>136</v>
      </c>
      <c r="F144" s="5"/>
      <c r="G144" s="22" t="s">
        <v>324</v>
      </c>
      <c r="H144" s="22">
        <v>0</v>
      </c>
      <c r="I144" s="23">
        <v>0</v>
      </c>
    </row>
    <row r="145" spans="2:9" x14ac:dyDescent="0.15">
      <c r="B145" s="5" t="s">
        <v>156</v>
      </c>
      <c r="C145" s="5" t="s">
        <v>3</v>
      </c>
      <c r="D145" s="5"/>
      <c r="E145" s="5" t="s">
        <v>136</v>
      </c>
      <c r="F145" s="5"/>
      <c r="G145" s="22" t="s">
        <v>324</v>
      </c>
      <c r="H145" s="22">
        <v>0</v>
      </c>
      <c r="I145" s="23">
        <v>0</v>
      </c>
    </row>
    <row r="146" spans="2:9" x14ac:dyDescent="0.15">
      <c r="B146" s="5" t="s">
        <v>8</v>
      </c>
      <c r="C146" s="5" t="s">
        <v>3</v>
      </c>
      <c r="D146" s="5"/>
      <c r="E146" s="5" t="s">
        <v>136</v>
      </c>
      <c r="F146" s="5"/>
      <c r="G146" s="22" t="s">
        <v>324</v>
      </c>
      <c r="H146" s="22">
        <v>0</v>
      </c>
      <c r="I146" s="23">
        <v>0</v>
      </c>
    </row>
    <row r="147" spans="2:9" x14ac:dyDescent="0.15">
      <c r="B147" s="5" t="s">
        <v>16</v>
      </c>
      <c r="C147" s="5" t="s">
        <v>3</v>
      </c>
      <c r="D147" s="5"/>
      <c r="E147" s="5" t="s">
        <v>136</v>
      </c>
      <c r="F147" s="5"/>
      <c r="G147" s="22" t="s">
        <v>324</v>
      </c>
      <c r="H147" s="22">
        <v>0</v>
      </c>
      <c r="I147" s="23">
        <v>0</v>
      </c>
    </row>
    <row r="148" spans="2:9" x14ac:dyDescent="0.15">
      <c r="B148" s="5" t="s">
        <v>24</v>
      </c>
      <c r="C148" s="5" t="s">
        <v>3</v>
      </c>
      <c r="D148" s="5"/>
      <c r="E148" s="5" t="s">
        <v>136</v>
      </c>
      <c r="F148" s="5"/>
      <c r="G148" s="22" t="s">
        <v>324</v>
      </c>
      <c r="H148" s="22">
        <v>0</v>
      </c>
      <c r="I148" s="23">
        <v>0</v>
      </c>
    </row>
    <row r="149" spans="2:9" x14ac:dyDescent="0.15">
      <c r="B149" s="5" t="s">
        <v>32</v>
      </c>
      <c r="C149" s="5" t="s">
        <v>3</v>
      </c>
      <c r="D149" s="5"/>
      <c r="E149" s="5" t="s">
        <v>136</v>
      </c>
      <c r="F149" s="5"/>
      <c r="G149" s="22" t="s">
        <v>324</v>
      </c>
      <c r="H149" s="22">
        <v>0</v>
      </c>
      <c r="I149" s="23">
        <v>0</v>
      </c>
    </row>
    <row r="150" spans="2:9" x14ac:dyDescent="0.15">
      <c r="B150" s="5" t="s">
        <v>40</v>
      </c>
      <c r="C150" s="5" t="s">
        <v>3</v>
      </c>
      <c r="D150" s="5"/>
      <c r="E150" s="5" t="s">
        <v>136</v>
      </c>
      <c r="F150" s="5"/>
      <c r="G150" s="22" t="s">
        <v>324</v>
      </c>
      <c r="H150" s="22">
        <v>0</v>
      </c>
      <c r="I150" s="23">
        <v>0</v>
      </c>
    </row>
    <row r="151" spans="2:9" x14ac:dyDescent="0.15">
      <c r="B151" s="5" t="s">
        <v>48</v>
      </c>
      <c r="C151" s="5" t="s">
        <v>3</v>
      </c>
      <c r="D151" s="5"/>
      <c r="E151" s="5" t="s">
        <v>136</v>
      </c>
      <c r="F151" s="5"/>
      <c r="G151" s="22" t="s">
        <v>324</v>
      </c>
      <c r="H151" s="22">
        <v>0</v>
      </c>
      <c r="I151" s="23">
        <v>0</v>
      </c>
    </row>
    <row r="152" spans="2:9" x14ac:dyDescent="0.15">
      <c r="B152" s="5" t="s">
        <v>56</v>
      </c>
      <c r="C152" s="5" t="s">
        <v>3</v>
      </c>
      <c r="D152" s="5"/>
      <c r="E152" s="5" t="s">
        <v>136</v>
      </c>
      <c r="F152" s="5"/>
      <c r="G152" s="22" t="s">
        <v>324</v>
      </c>
      <c r="H152" s="22">
        <v>0</v>
      </c>
      <c r="I152" s="23">
        <v>0</v>
      </c>
    </row>
    <row r="153" spans="2:9" x14ac:dyDescent="0.15">
      <c r="B153" s="5" t="s">
        <v>64</v>
      </c>
      <c r="C153" s="5" t="s">
        <v>3</v>
      </c>
      <c r="D153" s="5"/>
      <c r="E153" s="5" t="s">
        <v>136</v>
      </c>
      <c r="F153" s="5"/>
      <c r="G153" s="22" t="s">
        <v>324</v>
      </c>
      <c r="H153" s="22">
        <v>0</v>
      </c>
      <c r="I153" s="23">
        <v>0</v>
      </c>
    </row>
    <row r="154" spans="2:9" x14ac:dyDescent="0.15">
      <c r="B154" s="5" t="s">
        <v>72</v>
      </c>
      <c r="C154" s="5" t="s">
        <v>3</v>
      </c>
      <c r="D154" s="5"/>
      <c r="E154" s="5" t="s">
        <v>136</v>
      </c>
      <c r="F154" s="5"/>
      <c r="G154" s="22" t="s">
        <v>324</v>
      </c>
      <c r="H154" s="22">
        <v>0</v>
      </c>
      <c r="I154" s="23">
        <v>0</v>
      </c>
    </row>
    <row r="155" spans="2:9" x14ac:dyDescent="0.15">
      <c r="B155" s="5" t="s">
        <v>141</v>
      </c>
      <c r="C155" s="5" t="s">
        <v>3</v>
      </c>
      <c r="D155" s="5"/>
      <c r="E155" s="5" t="s">
        <v>136</v>
      </c>
      <c r="F155" s="5"/>
      <c r="G155" s="22" t="s">
        <v>324</v>
      </c>
      <c r="H155" s="22">
        <v>0</v>
      </c>
      <c r="I155" s="23">
        <v>0</v>
      </c>
    </row>
    <row r="156" spans="2:9" x14ac:dyDescent="0.15">
      <c r="B156" s="5" t="s">
        <v>149</v>
      </c>
      <c r="C156" s="5" t="s">
        <v>3</v>
      </c>
      <c r="D156" s="5"/>
      <c r="E156" s="5" t="s">
        <v>136</v>
      </c>
      <c r="F156" s="5"/>
      <c r="G156" s="22" t="s">
        <v>324</v>
      </c>
      <c r="H156" s="22">
        <v>0</v>
      </c>
      <c r="I156" s="23">
        <v>0</v>
      </c>
    </row>
    <row r="157" spans="2:9" x14ac:dyDescent="0.15">
      <c r="B157" s="5" t="s">
        <v>157</v>
      </c>
      <c r="C157" s="5" t="s">
        <v>3</v>
      </c>
      <c r="D157" s="5"/>
      <c r="E157" s="5" t="s">
        <v>136</v>
      </c>
      <c r="F157" s="5"/>
      <c r="G157" s="22" t="s">
        <v>324</v>
      </c>
      <c r="H157" s="22">
        <v>0</v>
      </c>
      <c r="I157" s="23">
        <v>0</v>
      </c>
    </row>
    <row r="158" spans="2:9" x14ac:dyDescent="0.15">
      <c r="B158" s="5" t="s">
        <v>9</v>
      </c>
      <c r="C158" s="5" t="s">
        <v>3</v>
      </c>
      <c r="D158" s="5"/>
      <c r="E158" s="5" t="s">
        <v>136</v>
      </c>
      <c r="F158" s="5"/>
      <c r="G158" s="22" t="s">
        <v>324</v>
      </c>
      <c r="H158" s="22">
        <v>0</v>
      </c>
      <c r="I158" s="23">
        <v>0</v>
      </c>
    </row>
    <row r="159" spans="2:9" x14ac:dyDescent="0.15">
      <c r="B159" s="5" t="s">
        <v>17</v>
      </c>
      <c r="C159" s="5" t="s">
        <v>3</v>
      </c>
      <c r="D159" s="5"/>
      <c r="E159" s="5" t="s">
        <v>136</v>
      </c>
      <c r="F159" s="5"/>
      <c r="G159" s="22" t="s">
        <v>324</v>
      </c>
      <c r="H159" s="22">
        <v>0</v>
      </c>
      <c r="I159" s="23">
        <v>0</v>
      </c>
    </row>
    <row r="160" spans="2:9" x14ac:dyDescent="0.15">
      <c r="B160" s="5" t="s">
        <v>25</v>
      </c>
      <c r="C160" s="5" t="s">
        <v>3</v>
      </c>
      <c r="D160" s="5"/>
      <c r="E160" s="5" t="s">
        <v>136</v>
      </c>
      <c r="F160" s="5"/>
      <c r="G160" s="22" t="s">
        <v>324</v>
      </c>
      <c r="H160" s="22">
        <v>0</v>
      </c>
      <c r="I160" s="23">
        <v>0</v>
      </c>
    </row>
    <row r="161" spans="2:9" x14ac:dyDescent="0.15">
      <c r="B161" s="5" t="s">
        <v>33</v>
      </c>
      <c r="C161" s="5" t="s">
        <v>3</v>
      </c>
      <c r="D161" s="5"/>
      <c r="E161" s="5" t="s">
        <v>136</v>
      </c>
      <c r="F161" s="5"/>
      <c r="G161" s="22" t="s">
        <v>324</v>
      </c>
      <c r="H161" s="22">
        <v>0</v>
      </c>
      <c r="I161" s="23">
        <v>0</v>
      </c>
    </row>
    <row r="162" spans="2:9" x14ac:dyDescent="0.15">
      <c r="B162" s="5" t="s">
        <v>41</v>
      </c>
      <c r="C162" s="5" t="s">
        <v>3</v>
      </c>
      <c r="D162" s="5"/>
      <c r="E162" s="5" t="s">
        <v>136</v>
      </c>
      <c r="F162" s="5"/>
      <c r="G162" s="22" t="s">
        <v>324</v>
      </c>
      <c r="H162" s="22">
        <v>0</v>
      </c>
      <c r="I162" s="23">
        <v>0</v>
      </c>
    </row>
    <row r="163" spans="2:9" x14ac:dyDescent="0.15">
      <c r="B163" s="5" t="s">
        <v>49</v>
      </c>
      <c r="C163" s="5" t="s">
        <v>3</v>
      </c>
      <c r="D163" s="5"/>
      <c r="E163" s="5" t="s">
        <v>136</v>
      </c>
      <c r="F163" s="5"/>
      <c r="G163" s="22" t="s">
        <v>324</v>
      </c>
      <c r="H163" s="22">
        <v>0</v>
      </c>
      <c r="I163" s="23">
        <v>0</v>
      </c>
    </row>
    <row r="164" spans="2:9" x14ac:dyDescent="0.15">
      <c r="B164" s="5" t="s">
        <v>57</v>
      </c>
      <c r="C164" s="5" t="s">
        <v>3</v>
      </c>
      <c r="D164" s="5"/>
      <c r="E164" s="5" t="s">
        <v>136</v>
      </c>
      <c r="F164" s="5"/>
      <c r="G164" s="22" t="s">
        <v>324</v>
      </c>
      <c r="H164" s="22">
        <v>0</v>
      </c>
      <c r="I164" s="23">
        <v>0</v>
      </c>
    </row>
    <row r="165" spans="2:9" x14ac:dyDescent="0.15">
      <c r="B165" s="5" t="s">
        <v>65</v>
      </c>
      <c r="C165" s="5" t="s">
        <v>3</v>
      </c>
      <c r="D165" s="5"/>
      <c r="E165" s="5" t="s">
        <v>136</v>
      </c>
      <c r="F165" s="5"/>
      <c r="G165" s="22" t="s">
        <v>324</v>
      </c>
      <c r="H165" s="22">
        <v>0</v>
      </c>
      <c r="I165" s="23">
        <v>0</v>
      </c>
    </row>
    <row r="166" spans="2:9" x14ac:dyDescent="0.15">
      <c r="B166" s="5" t="s">
        <v>73</v>
      </c>
      <c r="C166" s="5" t="s">
        <v>3</v>
      </c>
      <c r="D166" s="5"/>
      <c r="E166" s="5" t="s">
        <v>136</v>
      </c>
      <c r="F166" s="5"/>
      <c r="G166" s="22" t="s">
        <v>324</v>
      </c>
      <c r="H166" s="22">
        <v>0</v>
      </c>
      <c r="I166" s="23">
        <v>0</v>
      </c>
    </row>
    <row r="167" spans="2:9" x14ac:dyDescent="0.15">
      <c r="B167" s="5" t="s">
        <v>142</v>
      </c>
      <c r="C167" s="5" t="s">
        <v>3</v>
      </c>
      <c r="D167" s="5"/>
      <c r="E167" s="5" t="s">
        <v>136</v>
      </c>
      <c r="F167" s="5"/>
      <c r="G167" s="22" t="s">
        <v>324</v>
      </c>
      <c r="H167" s="22">
        <v>0</v>
      </c>
      <c r="I167" s="23">
        <v>0</v>
      </c>
    </row>
    <row r="168" spans="2:9" x14ac:dyDescent="0.15">
      <c r="B168" s="5" t="s">
        <v>150</v>
      </c>
      <c r="C168" s="5" t="s">
        <v>3</v>
      </c>
      <c r="D168" s="5"/>
      <c r="E168" s="5" t="s">
        <v>136</v>
      </c>
      <c r="F168" s="5"/>
      <c r="G168" s="22" t="s">
        <v>324</v>
      </c>
      <c r="H168" s="22">
        <v>0</v>
      </c>
      <c r="I168" s="23">
        <v>0</v>
      </c>
    </row>
    <row r="169" spans="2:9" x14ac:dyDescent="0.15">
      <c r="B169" s="5" t="s">
        <v>158</v>
      </c>
      <c r="C169" s="5" t="s">
        <v>3</v>
      </c>
      <c r="D169" s="5"/>
      <c r="E169" s="5" t="s">
        <v>136</v>
      </c>
      <c r="F169" s="5"/>
      <c r="G169" s="22" t="s">
        <v>324</v>
      </c>
      <c r="H169" s="22">
        <v>0</v>
      </c>
      <c r="I169" s="23">
        <v>0</v>
      </c>
    </row>
    <row r="170" spans="2:9" x14ac:dyDescent="0.15">
      <c r="B170" s="5" t="s">
        <v>10</v>
      </c>
      <c r="C170" s="5" t="s">
        <v>3</v>
      </c>
      <c r="D170" s="5"/>
      <c r="E170" s="5" t="s">
        <v>136</v>
      </c>
      <c r="F170" s="5"/>
      <c r="G170" s="22" t="s">
        <v>324</v>
      </c>
      <c r="H170" s="22">
        <v>0</v>
      </c>
      <c r="I170" s="23">
        <v>0</v>
      </c>
    </row>
    <row r="171" spans="2:9" x14ac:dyDescent="0.15">
      <c r="B171" s="5" t="s">
        <v>18</v>
      </c>
      <c r="C171" s="5" t="s">
        <v>3</v>
      </c>
      <c r="D171" s="5"/>
      <c r="E171" s="5" t="s">
        <v>136</v>
      </c>
      <c r="F171" s="5"/>
      <c r="G171" s="22" t="s">
        <v>324</v>
      </c>
      <c r="H171" s="22">
        <v>0</v>
      </c>
      <c r="I171" s="23">
        <v>0</v>
      </c>
    </row>
    <row r="172" spans="2:9" x14ac:dyDescent="0.15">
      <c r="B172" s="5" t="s">
        <v>26</v>
      </c>
      <c r="C172" s="5" t="s">
        <v>3</v>
      </c>
      <c r="D172" s="5"/>
      <c r="E172" s="5" t="s">
        <v>136</v>
      </c>
      <c r="F172" s="5"/>
      <c r="G172" s="22" t="s">
        <v>324</v>
      </c>
      <c r="H172" s="22">
        <v>0</v>
      </c>
      <c r="I172" s="23">
        <v>0</v>
      </c>
    </row>
    <row r="173" spans="2:9" x14ac:dyDescent="0.15">
      <c r="B173" s="5" t="s">
        <v>34</v>
      </c>
      <c r="C173" s="5" t="s">
        <v>3</v>
      </c>
      <c r="D173" s="5"/>
      <c r="E173" s="5" t="s">
        <v>136</v>
      </c>
      <c r="F173" s="5"/>
      <c r="G173" s="22" t="s">
        <v>324</v>
      </c>
      <c r="H173" s="22">
        <v>0</v>
      </c>
      <c r="I173" s="23">
        <v>0</v>
      </c>
    </row>
    <row r="174" spans="2:9" x14ac:dyDescent="0.15">
      <c r="B174" s="5" t="s">
        <v>42</v>
      </c>
      <c r="C174" s="5" t="s">
        <v>3</v>
      </c>
      <c r="D174" s="5"/>
      <c r="E174" s="5" t="s">
        <v>136</v>
      </c>
      <c r="F174" s="5"/>
      <c r="G174" s="22" t="s">
        <v>324</v>
      </c>
      <c r="H174" s="22">
        <v>0</v>
      </c>
      <c r="I174" s="23">
        <v>0</v>
      </c>
    </row>
    <row r="175" spans="2:9" x14ac:dyDescent="0.15">
      <c r="B175" s="5" t="s">
        <v>50</v>
      </c>
      <c r="C175" s="5" t="s">
        <v>3</v>
      </c>
      <c r="D175" s="5"/>
      <c r="E175" s="5" t="s">
        <v>136</v>
      </c>
      <c r="F175" s="5"/>
      <c r="G175" s="22" t="s">
        <v>324</v>
      </c>
      <c r="H175" s="22">
        <v>0</v>
      </c>
      <c r="I175" s="23">
        <v>0</v>
      </c>
    </row>
    <row r="176" spans="2:9" x14ac:dyDescent="0.15">
      <c r="B176" s="5" t="s">
        <v>58</v>
      </c>
      <c r="C176" s="5" t="s">
        <v>3</v>
      </c>
      <c r="D176" s="5"/>
      <c r="E176" s="5" t="s">
        <v>136</v>
      </c>
      <c r="F176" s="5"/>
      <c r="G176" s="22" t="s">
        <v>324</v>
      </c>
      <c r="H176" s="22">
        <v>0</v>
      </c>
      <c r="I176" s="23">
        <v>0</v>
      </c>
    </row>
    <row r="177" spans="2:9" x14ac:dyDescent="0.15">
      <c r="B177" s="5" t="s">
        <v>66</v>
      </c>
      <c r="C177" s="5" t="s">
        <v>3</v>
      </c>
      <c r="D177" s="5"/>
      <c r="E177" s="5" t="s">
        <v>136</v>
      </c>
      <c r="F177" s="5"/>
      <c r="G177" s="22" t="s">
        <v>324</v>
      </c>
      <c r="H177" s="22">
        <v>0</v>
      </c>
      <c r="I177" s="23">
        <v>0</v>
      </c>
    </row>
    <row r="178" spans="2:9" x14ac:dyDescent="0.15">
      <c r="B178" s="5" t="s">
        <v>74</v>
      </c>
      <c r="C178" s="5" t="s">
        <v>3</v>
      </c>
      <c r="D178" s="5"/>
      <c r="E178" s="5" t="s">
        <v>136</v>
      </c>
      <c r="F178" s="5"/>
      <c r="G178" s="22" t="s">
        <v>324</v>
      </c>
      <c r="H178" s="22">
        <v>0</v>
      </c>
      <c r="I178" s="23">
        <v>0</v>
      </c>
    </row>
    <row r="179" spans="2:9" x14ac:dyDescent="0.15">
      <c r="B179" s="5" t="s">
        <v>143</v>
      </c>
      <c r="C179" s="5" t="s">
        <v>3</v>
      </c>
      <c r="D179" s="5"/>
      <c r="E179" s="5" t="s">
        <v>136</v>
      </c>
      <c r="F179" s="5"/>
      <c r="G179" s="22" t="s">
        <v>324</v>
      </c>
      <c r="H179" s="22">
        <v>0</v>
      </c>
      <c r="I179" s="23">
        <v>0</v>
      </c>
    </row>
    <row r="180" spans="2:9" x14ac:dyDescent="0.15">
      <c r="B180" s="5" t="s">
        <v>151</v>
      </c>
      <c r="C180" s="5" t="s">
        <v>3</v>
      </c>
      <c r="D180" s="5"/>
      <c r="E180" s="5" t="s">
        <v>136</v>
      </c>
      <c r="F180" s="5"/>
      <c r="G180" s="22" t="s">
        <v>324</v>
      </c>
      <c r="H180" s="22">
        <v>0</v>
      </c>
      <c r="I180" s="23">
        <v>0</v>
      </c>
    </row>
    <row r="181" spans="2:9" x14ac:dyDescent="0.15">
      <c r="B181" s="5" t="s">
        <v>159</v>
      </c>
      <c r="C181" s="5" t="s">
        <v>3</v>
      </c>
      <c r="D181" s="5"/>
      <c r="E181" s="5" t="s">
        <v>136</v>
      </c>
      <c r="F181" s="5"/>
      <c r="G181" s="22" t="s">
        <v>324</v>
      </c>
      <c r="H181" s="22">
        <v>0</v>
      </c>
      <c r="I181" s="23">
        <v>0</v>
      </c>
    </row>
    <row r="182" spans="2:9" x14ac:dyDescent="0.15">
      <c r="B182" s="5" t="s">
        <v>11</v>
      </c>
      <c r="C182" s="5" t="s">
        <v>3</v>
      </c>
      <c r="D182" s="5"/>
      <c r="E182" s="5" t="s">
        <v>136</v>
      </c>
      <c r="F182" s="5"/>
      <c r="G182" s="22" t="s">
        <v>324</v>
      </c>
      <c r="H182" s="22">
        <v>0</v>
      </c>
      <c r="I182" s="23">
        <v>0</v>
      </c>
    </row>
    <row r="183" spans="2:9" x14ac:dyDescent="0.15">
      <c r="B183" s="5" t="s">
        <v>19</v>
      </c>
      <c r="C183" s="5" t="s">
        <v>3</v>
      </c>
      <c r="D183" s="5"/>
      <c r="E183" s="5" t="s">
        <v>136</v>
      </c>
      <c r="F183" s="5"/>
      <c r="G183" s="22" t="s">
        <v>324</v>
      </c>
      <c r="H183" s="22">
        <v>0</v>
      </c>
      <c r="I183" s="23">
        <v>0</v>
      </c>
    </row>
    <row r="184" spans="2:9" x14ac:dyDescent="0.15">
      <c r="B184" s="5" t="s">
        <v>27</v>
      </c>
      <c r="C184" s="5" t="s">
        <v>3</v>
      </c>
      <c r="D184" s="5"/>
      <c r="E184" s="5" t="s">
        <v>136</v>
      </c>
      <c r="F184" s="5"/>
      <c r="G184" s="22" t="s">
        <v>324</v>
      </c>
      <c r="H184" s="22">
        <v>0</v>
      </c>
      <c r="I184" s="23">
        <v>0</v>
      </c>
    </row>
    <row r="185" spans="2:9" x14ac:dyDescent="0.15">
      <c r="B185" s="5" t="s">
        <v>35</v>
      </c>
      <c r="C185" s="5" t="s">
        <v>3</v>
      </c>
      <c r="D185" s="5"/>
      <c r="E185" s="5" t="s">
        <v>136</v>
      </c>
      <c r="F185" s="5"/>
      <c r="G185" s="22" t="s">
        <v>324</v>
      </c>
      <c r="H185" s="22">
        <v>0</v>
      </c>
      <c r="I185" s="23">
        <v>0</v>
      </c>
    </row>
    <row r="186" spans="2:9" x14ac:dyDescent="0.15">
      <c r="B186" s="5" t="s">
        <v>43</v>
      </c>
      <c r="C186" s="5" t="s">
        <v>3</v>
      </c>
      <c r="D186" s="5"/>
      <c r="E186" s="5" t="s">
        <v>136</v>
      </c>
      <c r="F186" s="5"/>
      <c r="G186" s="22" t="s">
        <v>324</v>
      </c>
      <c r="H186" s="22">
        <v>0</v>
      </c>
      <c r="I186" s="23">
        <v>0</v>
      </c>
    </row>
    <row r="187" spans="2:9" x14ac:dyDescent="0.15">
      <c r="B187" s="5" t="s">
        <v>51</v>
      </c>
      <c r="C187" s="5" t="s">
        <v>3</v>
      </c>
      <c r="D187" s="5"/>
      <c r="E187" s="5" t="s">
        <v>136</v>
      </c>
      <c r="F187" s="5"/>
      <c r="G187" s="22" t="s">
        <v>324</v>
      </c>
      <c r="H187" s="22">
        <v>0</v>
      </c>
      <c r="I187" s="23">
        <v>0</v>
      </c>
    </row>
    <row r="188" spans="2:9" x14ac:dyDescent="0.15">
      <c r="B188" s="5" t="s">
        <v>59</v>
      </c>
      <c r="C188" s="5" t="s">
        <v>3</v>
      </c>
      <c r="D188" s="5"/>
      <c r="E188" s="5" t="s">
        <v>136</v>
      </c>
      <c r="F188" s="5"/>
      <c r="G188" s="22" t="s">
        <v>324</v>
      </c>
      <c r="H188" s="22">
        <v>0</v>
      </c>
      <c r="I188" s="23">
        <v>0</v>
      </c>
    </row>
    <row r="189" spans="2:9" x14ac:dyDescent="0.15">
      <c r="B189" s="5" t="s">
        <v>67</v>
      </c>
      <c r="C189" s="5" t="s">
        <v>3</v>
      </c>
      <c r="D189" s="5"/>
      <c r="E189" s="5" t="s">
        <v>136</v>
      </c>
      <c r="F189" s="5"/>
      <c r="G189" s="22" t="s">
        <v>324</v>
      </c>
      <c r="H189" s="22">
        <v>0</v>
      </c>
      <c r="I189" s="23">
        <v>0</v>
      </c>
    </row>
    <row r="190" spans="2:9" x14ac:dyDescent="0.15">
      <c r="B190" s="5" t="s">
        <v>75</v>
      </c>
      <c r="C190" s="5" t="s">
        <v>3</v>
      </c>
      <c r="D190" s="5"/>
      <c r="E190" s="5" t="s">
        <v>136</v>
      </c>
      <c r="F190" s="5"/>
      <c r="G190" s="22" t="s">
        <v>324</v>
      </c>
      <c r="H190" s="22">
        <v>0</v>
      </c>
      <c r="I190" s="23">
        <v>0</v>
      </c>
    </row>
    <row r="191" spans="2:9" x14ac:dyDescent="0.15">
      <c r="B191" s="5" t="s">
        <v>144</v>
      </c>
      <c r="C191" s="5" t="s">
        <v>3</v>
      </c>
      <c r="D191" s="5"/>
      <c r="E191" s="5" t="s">
        <v>136</v>
      </c>
      <c r="F191" s="5"/>
      <c r="G191" s="22" t="s">
        <v>324</v>
      </c>
      <c r="H191" s="22">
        <v>0</v>
      </c>
      <c r="I191" s="23">
        <v>0</v>
      </c>
    </row>
    <row r="192" spans="2:9" x14ac:dyDescent="0.15">
      <c r="B192" s="5" t="s">
        <v>152</v>
      </c>
      <c r="C192" s="5" t="s">
        <v>3</v>
      </c>
      <c r="D192" s="5"/>
      <c r="E192" s="5" t="s">
        <v>136</v>
      </c>
      <c r="F192" s="5"/>
      <c r="G192" s="22" t="s">
        <v>324</v>
      </c>
      <c r="H192" s="22">
        <v>0</v>
      </c>
      <c r="I192" s="23">
        <v>0</v>
      </c>
    </row>
    <row r="193" spans="2:9" x14ac:dyDescent="0.15">
      <c r="B193" s="5" t="s">
        <v>160</v>
      </c>
      <c r="C193" s="5" t="s">
        <v>3</v>
      </c>
      <c r="D193" s="5"/>
      <c r="E193" s="5" t="s">
        <v>136</v>
      </c>
      <c r="F193" s="5"/>
      <c r="G193" s="22" t="s">
        <v>324</v>
      </c>
      <c r="H193" s="22">
        <v>0</v>
      </c>
      <c r="I193" s="23">
        <v>0</v>
      </c>
    </row>
    <row r="194" spans="2:9" x14ac:dyDescent="0.15">
      <c r="B194" s="5" t="s">
        <v>2</v>
      </c>
      <c r="C194" s="5" t="s">
        <v>4</v>
      </c>
      <c r="D194" s="5"/>
      <c r="E194" s="5" t="s">
        <v>136</v>
      </c>
      <c r="F194" s="5"/>
      <c r="G194" s="22" t="s">
        <v>324</v>
      </c>
      <c r="H194" s="22">
        <v>0</v>
      </c>
      <c r="I194" s="23">
        <v>0</v>
      </c>
    </row>
    <row r="195" spans="2:9" x14ac:dyDescent="0.15">
      <c r="B195" s="5" t="s">
        <v>12</v>
      </c>
      <c r="C195" s="5" t="s">
        <v>4</v>
      </c>
      <c r="D195" s="5"/>
      <c r="E195" s="5" t="s">
        <v>136</v>
      </c>
      <c r="F195" s="5"/>
      <c r="G195" s="22" t="s">
        <v>324</v>
      </c>
      <c r="H195" s="22">
        <v>0</v>
      </c>
      <c r="I195" s="23">
        <v>0</v>
      </c>
    </row>
    <row r="196" spans="2:9" x14ac:dyDescent="0.15">
      <c r="B196" s="5" t="s">
        <v>20</v>
      </c>
      <c r="C196" s="5" t="s">
        <v>4</v>
      </c>
      <c r="D196" s="5"/>
      <c r="E196" s="5" t="s">
        <v>136</v>
      </c>
      <c r="F196" s="5"/>
      <c r="G196" s="22" t="s">
        <v>324</v>
      </c>
      <c r="H196" s="22">
        <v>0</v>
      </c>
      <c r="I196" s="23">
        <v>0</v>
      </c>
    </row>
    <row r="197" spans="2:9" x14ac:dyDescent="0.15">
      <c r="B197" s="5" t="s">
        <v>28</v>
      </c>
      <c r="C197" s="5" t="s">
        <v>4</v>
      </c>
      <c r="D197" s="5"/>
      <c r="E197" s="5" t="s">
        <v>136</v>
      </c>
      <c r="F197" s="5"/>
      <c r="G197" s="22" t="s">
        <v>324</v>
      </c>
      <c r="H197" s="22">
        <v>0</v>
      </c>
      <c r="I197" s="23">
        <v>0</v>
      </c>
    </row>
    <row r="198" spans="2:9" x14ac:dyDescent="0.15">
      <c r="B198" s="5" t="s">
        <v>36</v>
      </c>
      <c r="C198" s="5" t="s">
        <v>4</v>
      </c>
      <c r="D198" s="5"/>
      <c r="E198" s="5" t="s">
        <v>136</v>
      </c>
      <c r="F198" s="5"/>
      <c r="G198" s="22" t="s">
        <v>324</v>
      </c>
      <c r="H198" s="22">
        <v>0</v>
      </c>
      <c r="I198" s="23">
        <v>0</v>
      </c>
    </row>
    <row r="199" spans="2:9" x14ac:dyDescent="0.15">
      <c r="B199" s="5" t="s">
        <v>44</v>
      </c>
      <c r="C199" s="5" t="s">
        <v>4</v>
      </c>
      <c r="D199" s="5"/>
      <c r="E199" s="5" t="s">
        <v>136</v>
      </c>
      <c r="F199" s="5"/>
      <c r="G199" s="22" t="s">
        <v>324</v>
      </c>
      <c r="H199" s="22">
        <v>0</v>
      </c>
      <c r="I199" s="23">
        <v>0</v>
      </c>
    </row>
    <row r="200" spans="2:9" x14ac:dyDescent="0.15">
      <c r="B200" s="5" t="s">
        <v>52</v>
      </c>
      <c r="C200" s="5" t="s">
        <v>4</v>
      </c>
      <c r="D200" s="5"/>
      <c r="E200" s="5" t="s">
        <v>136</v>
      </c>
      <c r="F200" s="5"/>
      <c r="G200" s="22" t="s">
        <v>324</v>
      </c>
      <c r="H200" s="22">
        <v>0</v>
      </c>
      <c r="I200" s="23">
        <v>0</v>
      </c>
    </row>
    <row r="201" spans="2:9" x14ac:dyDescent="0.15">
      <c r="B201" s="5" t="s">
        <v>60</v>
      </c>
      <c r="C201" s="5" t="s">
        <v>4</v>
      </c>
      <c r="D201" s="5"/>
      <c r="E201" s="5" t="s">
        <v>136</v>
      </c>
      <c r="F201" s="5"/>
      <c r="G201" s="22" t="s">
        <v>324</v>
      </c>
      <c r="H201" s="22">
        <v>0</v>
      </c>
      <c r="I201" s="23">
        <v>0</v>
      </c>
    </row>
    <row r="202" spans="2:9" x14ac:dyDescent="0.15">
      <c r="B202" s="5" t="s">
        <v>68</v>
      </c>
      <c r="C202" s="5" t="s">
        <v>4</v>
      </c>
      <c r="D202" s="5"/>
      <c r="E202" s="5" t="s">
        <v>136</v>
      </c>
      <c r="F202" s="5"/>
      <c r="G202" s="22" t="s">
        <v>324</v>
      </c>
      <c r="H202" s="22">
        <v>0</v>
      </c>
      <c r="I202" s="23">
        <v>0</v>
      </c>
    </row>
    <row r="203" spans="2:9" x14ac:dyDescent="0.15">
      <c r="B203" s="5" t="s">
        <v>137</v>
      </c>
      <c r="C203" s="5" t="s">
        <v>4</v>
      </c>
      <c r="D203" s="5"/>
      <c r="E203" s="5" t="s">
        <v>136</v>
      </c>
      <c r="F203" s="5"/>
      <c r="G203" s="22" t="s">
        <v>324</v>
      </c>
      <c r="H203" s="22">
        <v>0</v>
      </c>
      <c r="I203" s="23">
        <v>0</v>
      </c>
    </row>
    <row r="204" spans="2:9" x14ac:dyDescent="0.15">
      <c r="B204" s="5" t="s">
        <v>145</v>
      </c>
      <c r="C204" s="5" t="s">
        <v>4</v>
      </c>
      <c r="D204" s="5"/>
      <c r="E204" s="5" t="s">
        <v>136</v>
      </c>
      <c r="F204" s="5"/>
      <c r="G204" s="22" t="s">
        <v>324</v>
      </c>
      <c r="H204" s="22">
        <v>0</v>
      </c>
      <c r="I204" s="23">
        <v>0</v>
      </c>
    </row>
    <row r="205" spans="2:9" x14ac:dyDescent="0.15">
      <c r="B205" s="5" t="s">
        <v>153</v>
      </c>
      <c r="C205" s="5" t="s">
        <v>4</v>
      </c>
      <c r="D205" s="5"/>
      <c r="E205" s="5" t="s">
        <v>136</v>
      </c>
      <c r="F205" s="5"/>
      <c r="G205" s="22" t="s">
        <v>324</v>
      </c>
      <c r="H205" s="22">
        <v>0</v>
      </c>
      <c r="I205" s="23">
        <v>0</v>
      </c>
    </row>
    <row r="206" spans="2:9" x14ac:dyDescent="0.15">
      <c r="B206" s="5" t="s">
        <v>5</v>
      </c>
      <c r="C206" s="5" t="s">
        <v>4</v>
      </c>
      <c r="D206" s="5"/>
      <c r="E206" s="5" t="s">
        <v>136</v>
      </c>
      <c r="F206" s="5"/>
      <c r="G206" s="22" t="s">
        <v>324</v>
      </c>
      <c r="H206" s="22">
        <v>0</v>
      </c>
      <c r="I206" s="23">
        <v>0</v>
      </c>
    </row>
    <row r="207" spans="2:9" x14ac:dyDescent="0.15">
      <c r="B207" s="5" t="s">
        <v>13</v>
      </c>
      <c r="C207" s="5" t="s">
        <v>4</v>
      </c>
      <c r="D207" s="5"/>
      <c r="E207" s="5" t="s">
        <v>136</v>
      </c>
      <c r="F207" s="5"/>
      <c r="G207" s="22" t="s">
        <v>324</v>
      </c>
      <c r="H207" s="22">
        <v>0</v>
      </c>
      <c r="I207" s="23">
        <v>0</v>
      </c>
    </row>
    <row r="208" spans="2:9" x14ac:dyDescent="0.15">
      <c r="B208" s="5" t="s">
        <v>21</v>
      </c>
      <c r="C208" s="5" t="s">
        <v>4</v>
      </c>
      <c r="D208" s="5"/>
      <c r="E208" s="5" t="s">
        <v>136</v>
      </c>
      <c r="F208" s="5"/>
      <c r="G208" s="22" t="s">
        <v>324</v>
      </c>
      <c r="H208" s="22">
        <v>0</v>
      </c>
      <c r="I208" s="23">
        <v>0</v>
      </c>
    </row>
    <row r="209" spans="2:9" x14ac:dyDescent="0.15">
      <c r="B209" s="5" t="s">
        <v>29</v>
      </c>
      <c r="C209" s="5" t="s">
        <v>4</v>
      </c>
      <c r="D209" s="5"/>
      <c r="E209" s="5" t="s">
        <v>136</v>
      </c>
      <c r="F209" s="5"/>
      <c r="G209" s="22" t="s">
        <v>324</v>
      </c>
      <c r="H209" s="22">
        <v>0</v>
      </c>
      <c r="I209" s="23">
        <v>0</v>
      </c>
    </row>
    <row r="210" spans="2:9" x14ac:dyDescent="0.15">
      <c r="B210" s="5" t="s">
        <v>37</v>
      </c>
      <c r="C210" s="5" t="s">
        <v>4</v>
      </c>
      <c r="D210" s="5"/>
      <c r="E210" s="5" t="s">
        <v>136</v>
      </c>
      <c r="F210" s="5"/>
      <c r="G210" s="22" t="s">
        <v>324</v>
      </c>
      <c r="H210" s="22">
        <v>0</v>
      </c>
      <c r="I210" s="23">
        <v>0</v>
      </c>
    </row>
    <row r="211" spans="2:9" x14ac:dyDescent="0.15">
      <c r="B211" s="5" t="s">
        <v>45</v>
      </c>
      <c r="C211" s="5" t="s">
        <v>4</v>
      </c>
      <c r="D211" s="5"/>
      <c r="E211" s="5" t="s">
        <v>136</v>
      </c>
      <c r="F211" s="5"/>
      <c r="G211" s="22" t="s">
        <v>324</v>
      </c>
      <c r="H211" s="22">
        <v>0</v>
      </c>
      <c r="I211" s="23">
        <v>0</v>
      </c>
    </row>
    <row r="212" spans="2:9" x14ac:dyDescent="0.15">
      <c r="B212" s="5" t="s">
        <v>53</v>
      </c>
      <c r="C212" s="5" t="s">
        <v>4</v>
      </c>
      <c r="D212" s="5"/>
      <c r="E212" s="5" t="s">
        <v>136</v>
      </c>
      <c r="F212" s="5"/>
      <c r="G212" s="22" t="s">
        <v>324</v>
      </c>
      <c r="H212" s="22">
        <v>0</v>
      </c>
      <c r="I212" s="23">
        <v>0</v>
      </c>
    </row>
    <row r="213" spans="2:9" x14ac:dyDescent="0.15">
      <c r="B213" s="5" t="s">
        <v>61</v>
      </c>
      <c r="C213" s="5" t="s">
        <v>4</v>
      </c>
      <c r="D213" s="5"/>
      <c r="E213" s="5" t="s">
        <v>136</v>
      </c>
      <c r="F213" s="5"/>
      <c r="G213" s="22" t="s">
        <v>324</v>
      </c>
      <c r="H213" s="22">
        <v>0</v>
      </c>
      <c r="I213" s="23">
        <v>0</v>
      </c>
    </row>
    <row r="214" spans="2:9" x14ac:dyDescent="0.15">
      <c r="B214" s="5" t="s">
        <v>69</v>
      </c>
      <c r="C214" s="5" t="s">
        <v>4</v>
      </c>
      <c r="D214" s="5"/>
      <c r="E214" s="5" t="s">
        <v>136</v>
      </c>
      <c r="F214" s="5"/>
      <c r="G214" s="22" t="s">
        <v>324</v>
      </c>
      <c r="H214" s="22">
        <v>0</v>
      </c>
      <c r="I214" s="23">
        <v>0</v>
      </c>
    </row>
    <row r="215" spans="2:9" x14ac:dyDescent="0.15">
      <c r="B215" s="5" t="s">
        <v>138</v>
      </c>
      <c r="C215" s="5" t="s">
        <v>4</v>
      </c>
      <c r="D215" s="5"/>
      <c r="E215" s="5" t="s">
        <v>136</v>
      </c>
      <c r="F215" s="5"/>
      <c r="G215" s="22" t="s">
        <v>324</v>
      </c>
      <c r="H215" s="22">
        <v>0</v>
      </c>
      <c r="I215" s="23">
        <v>0</v>
      </c>
    </row>
    <row r="216" spans="2:9" x14ac:dyDescent="0.15">
      <c r="B216" s="5" t="s">
        <v>146</v>
      </c>
      <c r="C216" s="5" t="s">
        <v>4</v>
      </c>
      <c r="D216" s="5"/>
      <c r="E216" s="5" t="s">
        <v>136</v>
      </c>
      <c r="F216" s="5"/>
      <c r="G216" s="22" t="s">
        <v>324</v>
      </c>
      <c r="H216" s="22">
        <v>0</v>
      </c>
      <c r="I216" s="23">
        <v>0</v>
      </c>
    </row>
    <row r="217" spans="2:9" x14ac:dyDescent="0.15">
      <c r="B217" s="5" t="s">
        <v>154</v>
      </c>
      <c r="C217" s="5" t="s">
        <v>4</v>
      </c>
      <c r="D217" s="5"/>
      <c r="E217" s="5" t="s">
        <v>136</v>
      </c>
      <c r="F217" s="5"/>
      <c r="G217" s="22" t="s">
        <v>324</v>
      </c>
      <c r="H217" s="22">
        <v>0</v>
      </c>
      <c r="I217" s="23">
        <v>0</v>
      </c>
    </row>
    <row r="218" spans="2:9" x14ac:dyDescent="0.15">
      <c r="B218" s="5" t="s">
        <v>6</v>
      </c>
      <c r="C218" s="5" t="s">
        <v>4</v>
      </c>
      <c r="D218" s="5"/>
      <c r="E218" s="5" t="s">
        <v>136</v>
      </c>
      <c r="F218" s="5"/>
      <c r="G218" s="22" t="s">
        <v>324</v>
      </c>
      <c r="H218" s="22">
        <v>0</v>
      </c>
      <c r="I218" s="23">
        <v>0</v>
      </c>
    </row>
    <row r="219" spans="2:9" x14ac:dyDescent="0.15">
      <c r="B219" s="5" t="s">
        <v>14</v>
      </c>
      <c r="C219" s="5" t="s">
        <v>4</v>
      </c>
      <c r="D219" s="5"/>
      <c r="E219" s="5" t="s">
        <v>136</v>
      </c>
      <c r="F219" s="5"/>
      <c r="G219" s="22" t="s">
        <v>324</v>
      </c>
      <c r="H219" s="22">
        <v>0</v>
      </c>
      <c r="I219" s="23">
        <v>0</v>
      </c>
    </row>
    <row r="220" spans="2:9" x14ac:dyDescent="0.15">
      <c r="B220" s="5" t="s">
        <v>22</v>
      </c>
      <c r="C220" s="5" t="s">
        <v>4</v>
      </c>
      <c r="D220" s="5"/>
      <c r="E220" s="5" t="s">
        <v>136</v>
      </c>
      <c r="F220" s="5"/>
      <c r="G220" s="22" t="s">
        <v>324</v>
      </c>
      <c r="H220" s="22">
        <v>0</v>
      </c>
      <c r="I220" s="23">
        <v>0</v>
      </c>
    </row>
    <row r="221" spans="2:9" x14ac:dyDescent="0.15">
      <c r="B221" s="5" t="s">
        <v>30</v>
      </c>
      <c r="C221" s="5" t="s">
        <v>4</v>
      </c>
      <c r="D221" s="5"/>
      <c r="E221" s="5" t="s">
        <v>136</v>
      </c>
      <c r="F221" s="5"/>
      <c r="G221" s="22" t="s">
        <v>324</v>
      </c>
      <c r="H221" s="22">
        <v>0</v>
      </c>
      <c r="I221" s="23">
        <v>0</v>
      </c>
    </row>
    <row r="222" spans="2:9" x14ac:dyDescent="0.15">
      <c r="B222" s="5" t="s">
        <v>38</v>
      </c>
      <c r="C222" s="5" t="s">
        <v>4</v>
      </c>
      <c r="D222" s="5"/>
      <c r="E222" s="5" t="s">
        <v>136</v>
      </c>
      <c r="F222" s="5"/>
      <c r="G222" s="22" t="s">
        <v>324</v>
      </c>
      <c r="H222" s="22">
        <v>0</v>
      </c>
      <c r="I222" s="23">
        <v>0</v>
      </c>
    </row>
    <row r="223" spans="2:9" x14ac:dyDescent="0.15">
      <c r="B223" s="5" t="s">
        <v>46</v>
      </c>
      <c r="C223" s="5" t="s">
        <v>4</v>
      </c>
      <c r="D223" s="5"/>
      <c r="E223" s="5" t="s">
        <v>136</v>
      </c>
      <c r="F223" s="5"/>
      <c r="G223" s="22" t="s">
        <v>324</v>
      </c>
      <c r="H223" s="22">
        <v>0</v>
      </c>
      <c r="I223" s="23">
        <v>0</v>
      </c>
    </row>
    <row r="224" spans="2:9" x14ac:dyDescent="0.15">
      <c r="B224" s="5" t="s">
        <v>54</v>
      </c>
      <c r="C224" s="5" t="s">
        <v>4</v>
      </c>
      <c r="D224" s="5"/>
      <c r="E224" s="5" t="s">
        <v>136</v>
      </c>
      <c r="F224" s="5"/>
      <c r="G224" s="22" t="s">
        <v>324</v>
      </c>
      <c r="H224" s="22">
        <v>0</v>
      </c>
      <c r="I224" s="23">
        <v>0</v>
      </c>
    </row>
    <row r="225" spans="2:9" x14ac:dyDescent="0.15">
      <c r="B225" s="5" t="s">
        <v>62</v>
      </c>
      <c r="C225" s="5" t="s">
        <v>4</v>
      </c>
      <c r="D225" s="5"/>
      <c r="E225" s="5" t="s">
        <v>136</v>
      </c>
      <c r="F225" s="5"/>
      <c r="G225" s="22" t="s">
        <v>324</v>
      </c>
      <c r="H225" s="22">
        <v>0</v>
      </c>
      <c r="I225" s="23">
        <v>0</v>
      </c>
    </row>
    <row r="226" spans="2:9" x14ac:dyDescent="0.15">
      <c r="B226" s="5" t="s">
        <v>70</v>
      </c>
      <c r="C226" s="5" t="s">
        <v>4</v>
      </c>
      <c r="D226" s="5"/>
      <c r="E226" s="5" t="s">
        <v>136</v>
      </c>
      <c r="F226" s="5"/>
      <c r="G226" s="22" t="s">
        <v>324</v>
      </c>
      <c r="H226" s="22">
        <v>0</v>
      </c>
      <c r="I226" s="23">
        <v>0</v>
      </c>
    </row>
    <row r="227" spans="2:9" x14ac:dyDescent="0.15">
      <c r="B227" s="5" t="s">
        <v>139</v>
      </c>
      <c r="C227" s="5" t="s">
        <v>4</v>
      </c>
      <c r="D227" s="5"/>
      <c r="E227" s="5" t="s">
        <v>136</v>
      </c>
      <c r="F227" s="5"/>
      <c r="G227" s="22" t="s">
        <v>324</v>
      </c>
      <c r="H227" s="22">
        <v>0</v>
      </c>
      <c r="I227" s="23">
        <v>0</v>
      </c>
    </row>
    <row r="228" spans="2:9" x14ac:dyDescent="0.15">
      <c r="B228" s="5" t="s">
        <v>147</v>
      </c>
      <c r="C228" s="5" t="s">
        <v>4</v>
      </c>
      <c r="D228" s="5"/>
      <c r="E228" s="5" t="s">
        <v>136</v>
      </c>
      <c r="F228" s="5"/>
      <c r="G228" s="22" t="s">
        <v>324</v>
      </c>
      <c r="H228" s="22">
        <v>0</v>
      </c>
      <c r="I228" s="23">
        <v>0</v>
      </c>
    </row>
    <row r="229" spans="2:9" x14ac:dyDescent="0.15">
      <c r="B229" s="5" t="s">
        <v>155</v>
      </c>
      <c r="C229" s="5" t="s">
        <v>4</v>
      </c>
      <c r="D229" s="5"/>
      <c r="E229" s="5" t="s">
        <v>136</v>
      </c>
      <c r="F229" s="5"/>
      <c r="G229" s="22" t="s">
        <v>324</v>
      </c>
      <c r="H229" s="22">
        <v>0</v>
      </c>
      <c r="I229" s="23">
        <v>0</v>
      </c>
    </row>
    <row r="230" spans="2:9" x14ac:dyDescent="0.15">
      <c r="B230" s="5" t="s">
        <v>7</v>
      </c>
      <c r="C230" s="5" t="s">
        <v>4</v>
      </c>
      <c r="D230" s="5"/>
      <c r="E230" s="5" t="s">
        <v>136</v>
      </c>
      <c r="F230" s="5"/>
      <c r="G230" s="22" t="s">
        <v>324</v>
      </c>
      <c r="H230" s="22">
        <v>0</v>
      </c>
      <c r="I230" s="23">
        <v>0</v>
      </c>
    </row>
    <row r="231" spans="2:9" x14ac:dyDescent="0.15">
      <c r="B231" s="5" t="s">
        <v>15</v>
      </c>
      <c r="C231" s="5" t="s">
        <v>4</v>
      </c>
      <c r="D231" s="5"/>
      <c r="E231" s="5" t="s">
        <v>136</v>
      </c>
      <c r="F231" s="5"/>
      <c r="G231" s="22" t="s">
        <v>324</v>
      </c>
      <c r="H231" s="22">
        <v>0</v>
      </c>
      <c r="I231" s="23">
        <v>0</v>
      </c>
    </row>
    <row r="232" spans="2:9" x14ac:dyDescent="0.15">
      <c r="B232" s="5" t="s">
        <v>23</v>
      </c>
      <c r="C232" s="5" t="s">
        <v>4</v>
      </c>
      <c r="D232" s="5"/>
      <c r="E232" s="5" t="s">
        <v>136</v>
      </c>
      <c r="F232" s="5"/>
      <c r="G232" s="22" t="s">
        <v>324</v>
      </c>
      <c r="H232" s="22">
        <v>0</v>
      </c>
      <c r="I232" s="23">
        <v>0</v>
      </c>
    </row>
    <row r="233" spans="2:9" x14ac:dyDescent="0.15">
      <c r="B233" s="5" t="s">
        <v>31</v>
      </c>
      <c r="C233" s="5" t="s">
        <v>4</v>
      </c>
      <c r="D233" s="5"/>
      <c r="E233" s="5" t="s">
        <v>136</v>
      </c>
      <c r="F233" s="5"/>
      <c r="G233" s="22" t="s">
        <v>324</v>
      </c>
      <c r="H233" s="22">
        <v>0</v>
      </c>
      <c r="I233" s="23">
        <v>0</v>
      </c>
    </row>
    <row r="234" spans="2:9" x14ac:dyDescent="0.15">
      <c r="B234" s="5" t="s">
        <v>39</v>
      </c>
      <c r="C234" s="5" t="s">
        <v>4</v>
      </c>
      <c r="D234" s="5"/>
      <c r="E234" s="5" t="s">
        <v>136</v>
      </c>
      <c r="F234" s="5"/>
      <c r="G234" s="22" t="s">
        <v>324</v>
      </c>
      <c r="H234" s="22">
        <v>0</v>
      </c>
      <c r="I234" s="23">
        <v>0</v>
      </c>
    </row>
    <row r="235" spans="2:9" x14ac:dyDescent="0.15">
      <c r="B235" s="5" t="s">
        <v>47</v>
      </c>
      <c r="C235" s="5" t="s">
        <v>4</v>
      </c>
      <c r="D235" s="5"/>
      <c r="E235" s="5" t="s">
        <v>136</v>
      </c>
      <c r="F235" s="5"/>
      <c r="G235" s="22" t="s">
        <v>324</v>
      </c>
      <c r="H235" s="22">
        <v>0</v>
      </c>
      <c r="I235" s="23">
        <v>0</v>
      </c>
    </row>
    <row r="236" spans="2:9" x14ac:dyDescent="0.15">
      <c r="B236" s="5" t="s">
        <v>55</v>
      </c>
      <c r="C236" s="5" t="s">
        <v>4</v>
      </c>
      <c r="D236" s="5"/>
      <c r="E236" s="5" t="s">
        <v>136</v>
      </c>
      <c r="F236" s="5"/>
      <c r="G236" s="22" t="s">
        <v>324</v>
      </c>
      <c r="H236" s="22">
        <v>0</v>
      </c>
      <c r="I236" s="23">
        <v>0</v>
      </c>
    </row>
    <row r="237" spans="2:9" x14ac:dyDescent="0.15">
      <c r="B237" s="5" t="s">
        <v>63</v>
      </c>
      <c r="C237" s="5" t="s">
        <v>4</v>
      </c>
      <c r="D237" s="5"/>
      <c r="E237" s="5" t="s">
        <v>136</v>
      </c>
      <c r="F237" s="5"/>
      <c r="G237" s="22" t="s">
        <v>324</v>
      </c>
      <c r="H237" s="22">
        <v>0</v>
      </c>
      <c r="I237" s="23">
        <v>0</v>
      </c>
    </row>
    <row r="238" spans="2:9" x14ac:dyDescent="0.15">
      <c r="B238" s="5" t="s">
        <v>71</v>
      </c>
      <c r="C238" s="5" t="s">
        <v>4</v>
      </c>
      <c r="D238" s="5"/>
      <c r="E238" s="5" t="s">
        <v>136</v>
      </c>
      <c r="F238" s="5"/>
      <c r="G238" s="22" t="s">
        <v>324</v>
      </c>
      <c r="H238" s="22">
        <v>0</v>
      </c>
      <c r="I238" s="23">
        <v>0</v>
      </c>
    </row>
    <row r="239" spans="2:9" x14ac:dyDescent="0.15">
      <c r="B239" s="5" t="s">
        <v>140</v>
      </c>
      <c r="C239" s="5" t="s">
        <v>4</v>
      </c>
      <c r="D239" s="5"/>
      <c r="E239" s="5" t="s">
        <v>136</v>
      </c>
      <c r="F239" s="5"/>
      <c r="G239" s="22" t="s">
        <v>324</v>
      </c>
      <c r="H239" s="22">
        <v>0</v>
      </c>
      <c r="I239" s="23">
        <v>0</v>
      </c>
    </row>
    <row r="240" spans="2:9" x14ac:dyDescent="0.15">
      <c r="B240" s="5" t="s">
        <v>148</v>
      </c>
      <c r="C240" s="5" t="s">
        <v>4</v>
      </c>
      <c r="D240" s="5"/>
      <c r="E240" s="5" t="s">
        <v>136</v>
      </c>
      <c r="F240" s="5"/>
      <c r="G240" s="22" t="s">
        <v>324</v>
      </c>
      <c r="H240" s="22">
        <v>0</v>
      </c>
      <c r="I240" s="23">
        <v>0</v>
      </c>
    </row>
    <row r="241" spans="2:9" x14ac:dyDescent="0.15">
      <c r="B241" s="5" t="s">
        <v>156</v>
      </c>
      <c r="C241" s="5" t="s">
        <v>4</v>
      </c>
      <c r="D241" s="5"/>
      <c r="E241" s="5" t="s">
        <v>136</v>
      </c>
      <c r="F241" s="5"/>
      <c r="G241" s="22" t="s">
        <v>324</v>
      </c>
      <c r="H241" s="22">
        <v>0</v>
      </c>
      <c r="I241" s="23">
        <v>0</v>
      </c>
    </row>
    <row r="242" spans="2:9" x14ac:dyDescent="0.15">
      <c r="B242" s="5" t="s">
        <v>8</v>
      </c>
      <c r="C242" s="5" t="s">
        <v>4</v>
      </c>
      <c r="D242" s="5"/>
      <c r="E242" s="5" t="s">
        <v>136</v>
      </c>
      <c r="F242" s="5"/>
      <c r="G242" s="22" t="s">
        <v>324</v>
      </c>
      <c r="H242" s="22">
        <v>0</v>
      </c>
      <c r="I242" s="23">
        <v>0</v>
      </c>
    </row>
    <row r="243" spans="2:9" x14ac:dyDescent="0.15">
      <c r="B243" s="5" t="s">
        <v>16</v>
      </c>
      <c r="C243" s="5" t="s">
        <v>4</v>
      </c>
      <c r="D243" s="5"/>
      <c r="E243" s="5" t="s">
        <v>136</v>
      </c>
      <c r="F243" s="5"/>
      <c r="G243" s="22" t="s">
        <v>324</v>
      </c>
      <c r="H243" s="22">
        <v>0</v>
      </c>
      <c r="I243" s="23">
        <v>0</v>
      </c>
    </row>
    <row r="244" spans="2:9" x14ac:dyDescent="0.15">
      <c r="B244" s="5" t="s">
        <v>24</v>
      </c>
      <c r="C244" s="5" t="s">
        <v>4</v>
      </c>
      <c r="D244" s="5"/>
      <c r="E244" s="5" t="s">
        <v>136</v>
      </c>
      <c r="F244" s="5"/>
      <c r="G244" s="22" t="s">
        <v>324</v>
      </c>
      <c r="H244" s="22">
        <v>0</v>
      </c>
      <c r="I244" s="23">
        <v>0</v>
      </c>
    </row>
    <row r="245" spans="2:9" x14ac:dyDescent="0.15">
      <c r="B245" s="5" t="s">
        <v>32</v>
      </c>
      <c r="C245" s="5" t="s">
        <v>4</v>
      </c>
      <c r="D245" s="5"/>
      <c r="E245" s="5" t="s">
        <v>136</v>
      </c>
      <c r="F245" s="5"/>
      <c r="G245" s="22" t="s">
        <v>324</v>
      </c>
      <c r="H245" s="22">
        <v>0</v>
      </c>
      <c r="I245" s="23">
        <v>0</v>
      </c>
    </row>
    <row r="246" spans="2:9" x14ac:dyDescent="0.15">
      <c r="B246" s="5" t="s">
        <v>40</v>
      </c>
      <c r="C246" s="5" t="s">
        <v>4</v>
      </c>
      <c r="D246" s="5"/>
      <c r="E246" s="5" t="s">
        <v>136</v>
      </c>
      <c r="F246" s="5"/>
      <c r="G246" s="22" t="s">
        <v>324</v>
      </c>
      <c r="H246" s="22">
        <v>0</v>
      </c>
      <c r="I246" s="23">
        <v>0</v>
      </c>
    </row>
    <row r="247" spans="2:9" x14ac:dyDescent="0.15">
      <c r="B247" s="5" t="s">
        <v>48</v>
      </c>
      <c r="C247" s="5" t="s">
        <v>4</v>
      </c>
      <c r="D247" s="5"/>
      <c r="E247" s="5" t="s">
        <v>136</v>
      </c>
      <c r="F247" s="5"/>
      <c r="G247" s="22" t="s">
        <v>324</v>
      </c>
      <c r="H247" s="22">
        <v>0</v>
      </c>
      <c r="I247" s="23">
        <v>0</v>
      </c>
    </row>
    <row r="248" spans="2:9" x14ac:dyDescent="0.15">
      <c r="B248" s="5" t="s">
        <v>56</v>
      </c>
      <c r="C248" s="5" t="s">
        <v>4</v>
      </c>
      <c r="D248" s="5"/>
      <c r="E248" s="5" t="s">
        <v>136</v>
      </c>
      <c r="F248" s="5"/>
      <c r="G248" s="22" t="s">
        <v>324</v>
      </c>
      <c r="H248" s="22">
        <v>0</v>
      </c>
      <c r="I248" s="23">
        <v>0</v>
      </c>
    </row>
    <row r="249" spans="2:9" x14ac:dyDescent="0.15">
      <c r="B249" s="5" t="s">
        <v>64</v>
      </c>
      <c r="C249" s="5" t="s">
        <v>4</v>
      </c>
      <c r="D249" s="5"/>
      <c r="E249" s="5" t="s">
        <v>136</v>
      </c>
      <c r="F249" s="5"/>
      <c r="G249" s="22" t="s">
        <v>324</v>
      </c>
      <c r="H249" s="22">
        <v>0</v>
      </c>
      <c r="I249" s="23">
        <v>0</v>
      </c>
    </row>
    <row r="250" spans="2:9" x14ac:dyDescent="0.15">
      <c r="B250" s="5" t="s">
        <v>72</v>
      </c>
      <c r="C250" s="5" t="s">
        <v>4</v>
      </c>
      <c r="D250" s="5"/>
      <c r="E250" s="5" t="s">
        <v>136</v>
      </c>
      <c r="F250" s="5"/>
      <c r="G250" s="22" t="s">
        <v>324</v>
      </c>
      <c r="H250" s="22">
        <v>0</v>
      </c>
      <c r="I250" s="23">
        <v>0</v>
      </c>
    </row>
    <row r="251" spans="2:9" x14ac:dyDescent="0.15">
      <c r="B251" s="5" t="s">
        <v>141</v>
      </c>
      <c r="C251" s="5" t="s">
        <v>4</v>
      </c>
      <c r="D251" s="5"/>
      <c r="E251" s="5" t="s">
        <v>136</v>
      </c>
      <c r="F251" s="5"/>
      <c r="G251" s="22" t="s">
        <v>324</v>
      </c>
      <c r="H251" s="22">
        <v>0</v>
      </c>
      <c r="I251" s="23">
        <v>0</v>
      </c>
    </row>
    <row r="252" spans="2:9" x14ac:dyDescent="0.15">
      <c r="B252" s="5" t="s">
        <v>149</v>
      </c>
      <c r="C252" s="5" t="s">
        <v>4</v>
      </c>
      <c r="D252" s="5"/>
      <c r="E252" s="5" t="s">
        <v>136</v>
      </c>
      <c r="F252" s="5"/>
      <c r="G252" s="22" t="s">
        <v>324</v>
      </c>
      <c r="H252" s="22">
        <v>0</v>
      </c>
      <c r="I252" s="23">
        <v>0</v>
      </c>
    </row>
    <row r="253" spans="2:9" x14ac:dyDescent="0.15">
      <c r="B253" s="5" t="s">
        <v>157</v>
      </c>
      <c r="C253" s="5" t="s">
        <v>4</v>
      </c>
      <c r="D253" s="5"/>
      <c r="E253" s="5" t="s">
        <v>136</v>
      </c>
      <c r="F253" s="5"/>
      <c r="G253" s="22" t="s">
        <v>324</v>
      </c>
      <c r="H253" s="22">
        <v>0</v>
      </c>
      <c r="I253" s="23">
        <v>0</v>
      </c>
    </row>
    <row r="254" spans="2:9" x14ac:dyDescent="0.15">
      <c r="B254" s="5" t="s">
        <v>9</v>
      </c>
      <c r="C254" s="5" t="s">
        <v>4</v>
      </c>
      <c r="D254" s="5"/>
      <c r="E254" s="5" t="s">
        <v>136</v>
      </c>
      <c r="F254" s="5"/>
      <c r="G254" s="22" t="s">
        <v>324</v>
      </c>
      <c r="H254" s="22">
        <v>0</v>
      </c>
      <c r="I254" s="23">
        <v>0</v>
      </c>
    </row>
    <row r="255" spans="2:9" x14ac:dyDescent="0.15">
      <c r="B255" s="5" t="s">
        <v>17</v>
      </c>
      <c r="C255" s="5" t="s">
        <v>4</v>
      </c>
      <c r="D255" s="5"/>
      <c r="E255" s="5" t="s">
        <v>136</v>
      </c>
      <c r="F255" s="5"/>
      <c r="G255" s="22" t="s">
        <v>324</v>
      </c>
      <c r="H255" s="22">
        <v>0</v>
      </c>
      <c r="I255" s="23">
        <v>0</v>
      </c>
    </row>
    <row r="256" spans="2:9" x14ac:dyDescent="0.15">
      <c r="B256" s="5" t="s">
        <v>25</v>
      </c>
      <c r="C256" s="5" t="s">
        <v>4</v>
      </c>
      <c r="D256" s="5"/>
      <c r="E256" s="5" t="s">
        <v>136</v>
      </c>
      <c r="F256" s="5"/>
      <c r="G256" s="22" t="s">
        <v>324</v>
      </c>
      <c r="H256" s="22">
        <v>0</v>
      </c>
      <c r="I256" s="23">
        <v>0</v>
      </c>
    </row>
    <row r="257" spans="2:9" x14ac:dyDescent="0.15">
      <c r="B257" s="5" t="s">
        <v>33</v>
      </c>
      <c r="C257" s="5" t="s">
        <v>4</v>
      </c>
      <c r="D257" s="5"/>
      <c r="E257" s="5" t="s">
        <v>136</v>
      </c>
      <c r="F257" s="5"/>
      <c r="G257" s="22" t="s">
        <v>324</v>
      </c>
      <c r="H257" s="22">
        <v>0</v>
      </c>
      <c r="I257" s="23">
        <v>0</v>
      </c>
    </row>
    <row r="258" spans="2:9" x14ac:dyDescent="0.15">
      <c r="B258" s="5" t="s">
        <v>41</v>
      </c>
      <c r="C258" s="5" t="s">
        <v>4</v>
      </c>
      <c r="D258" s="5"/>
      <c r="E258" s="5" t="s">
        <v>136</v>
      </c>
      <c r="F258" s="5"/>
      <c r="G258" s="22" t="s">
        <v>324</v>
      </c>
      <c r="H258" s="22">
        <v>0</v>
      </c>
      <c r="I258" s="23">
        <v>0</v>
      </c>
    </row>
    <row r="259" spans="2:9" x14ac:dyDescent="0.15">
      <c r="B259" s="5" t="s">
        <v>49</v>
      </c>
      <c r="C259" s="5" t="s">
        <v>4</v>
      </c>
      <c r="D259" s="5"/>
      <c r="E259" s="5" t="s">
        <v>136</v>
      </c>
      <c r="F259" s="5"/>
      <c r="G259" s="22" t="s">
        <v>324</v>
      </c>
      <c r="H259" s="22">
        <v>0</v>
      </c>
      <c r="I259" s="23">
        <v>0</v>
      </c>
    </row>
    <row r="260" spans="2:9" x14ac:dyDescent="0.15">
      <c r="B260" s="5" t="s">
        <v>57</v>
      </c>
      <c r="C260" s="5" t="s">
        <v>4</v>
      </c>
      <c r="D260" s="5"/>
      <c r="E260" s="5" t="s">
        <v>136</v>
      </c>
      <c r="F260" s="5"/>
      <c r="G260" s="22" t="s">
        <v>324</v>
      </c>
      <c r="H260" s="22">
        <v>0</v>
      </c>
      <c r="I260" s="23">
        <v>0</v>
      </c>
    </row>
    <row r="261" spans="2:9" x14ac:dyDescent="0.15">
      <c r="B261" s="5" t="s">
        <v>65</v>
      </c>
      <c r="C261" s="5" t="s">
        <v>4</v>
      </c>
      <c r="D261" s="5"/>
      <c r="E261" s="5" t="s">
        <v>136</v>
      </c>
      <c r="F261" s="5"/>
      <c r="G261" s="22" t="s">
        <v>324</v>
      </c>
      <c r="H261" s="22">
        <v>0</v>
      </c>
      <c r="I261" s="23">
        <v>0</v>
      </c>
    </row>
    <row r="262" spans="2:9" x14ac:dyDescent="0.15">
      <c r="B262" s="5" t="s">
        <v>73</v>
      </c>
      <c r="C262" s="5" t="s">
        <v>4</v>
      </c>
      <c r="D262" s="5"/>
      <c r="E262" s="5" t="s">
        <v>136</v>
      </c>
      <c r="F262" s="5"/>
      <c r="G262" s="22" t="s">
        <v>324</v>
      </c>
      <c r="H262" s="22">
        <v>0</v>
      </c>
      <c r="I262" s="23">
        <v>0</v>
      </c>
    </row>
    <row r="263" spans="2:9" x14ac:dyDescent="0.15">
      <c r="B263" s="5" t="s">
        <v>142</v>
      </c>
      <c r="C263" s="5" t="s">
        <v>4</v>
      </c>
      <c r="D263" s="5"/>
      <c r="E263" s="5" t="s">
        <v>136</v>
      </c>
      <c r="F263" s="5"/>
      <c r="G263" s="22" t="s">
        <v>324</v>
      </c>
      <c r="H263" s="22">
        <v>0</v>
      </c>
      <c r="I263" s="23">
        <v>0</v>
      </c>
    </row>
    <row r="264" spans="2:9" x14ac:dyDescent="0.15">
      <c r="B264" s="5" t="s">
        <v>150</v>
      </c>
      <c r="C264" s="5" t="s">
        <v>4</v>
      </c>
      <c r="D264" s="5"/>
      <c r="E264" s="5" t="s">
        <v>136</v>
      </c>
      <c r="F264" s="5"/>
      <c r="G264" s="22" t="s">
        <v>324</v>
      </c>
      <c r="H264" s="22">
        <v>0</v>
      </c>
      <c r="I264" s="23">
        <v>0</v>
      </c>
    </row>
    <row r="265" spans="2:9" x14ac:dyDescent="0.15">
      <c r="B265" s="5" t="s">
        <v>158</v>
      </c>
      <c r="C265" s="5" t="s">
        <v>4</v>
      </c>
      <c r="D265" s="5"/>
      <c r="E265" s="5" t="s">
        <v>136</v>
      </c>
      <c r="F265" s="5"/>
      <c r="G265" s="22" t="s">
        <v>324</v>
      </c>
      <c r="H265" s="22">
        <v>0</v>
      </c>
      <c r="I265" s="23">
        <v>0</v>
      </c>
    </row>
    <row r="266" spans="2:9" x14ac:dyDescent="0.15">
      <c r="B266" s="5" t="s">
        <v>10</v>
      </c>
      <c r="C266" s="5" t="s">
        <v>4</v>
      </c>
      <c r="D266" s="5"/>
      <c r="E266" s="5" t="s">
        <v>136</v>
      </c>
      <c r="F266" s="5"/>
      <c r="G266" s="22" t="s">
        <v>324</v>
      </c>
      <c r="H266" s="22">
        <v>0</v>
      </c>
      <c r="I266" s="23">
        <v>0</v>
      </c>
    </row>
    <row r="267" spans="2:9" x14ac:dyDescent="0.15">
      <c r="B267" s="5" t="s">
        <v>18</v>
      </c>
      <c r="C267" s="5" t="s">
        <v>4</v>
      </c>
      <c r="D267" s="5"/>
      <c r="E267" s="5" t="s">
        <v>136</v>
      </c>
      <c r="F267" s="5"/>
      <c r="G267" s="22" t="s">
        <v>324</v>
      </c>
      <c r="H267" s="22">
        <v>0</v>
      </c>
      <c r="I267" s="23">
        <v>0</v>
      </c>
    </row>
    <row r="268" spans="2:9" x14ac:dyDescent="0.15">
      <c r="B268" s="5" t="s">
        <v>26</v>
      </c>
      <c r="C268" s="5" t="s">
        <v>4</v>
      </c>
      <c r="D268" s="5"/>
      <c r="E268" s="5" t="s">
        <v>136</v>
      </c>
      <c r="F268" s="5"/>
      <c r="G268" s="22" t="s">
        <v>324</v>
      </c>
      <c r="H268" s="22">
        <v>0</v>
      </c>
      <c r="I268" s="23">
        <v>0</v>
      </c>
    </row>
    <row r="269" spans="2:9" x14ac:dyDescent="0.15">
      <c r="B269" s="5" t="s">
        <v>34</v>
      </c>
      <c r="C269" s="5" t="s">
        <v>4</v>
      </c>
      <c r="D269" s="5"/>
      <c r="E269" s="5" t="s">
        <v>136</v>
      </c>
      <c r="F269" s="5"/>
      <c r="G269" s="22" t="s">
        <v>324</v>
      </c>
      <c r="H269" s="22">
        <v>0</v>
      </c>
      <c r="I269" s="23">
        <v>0</v>
      </c>
    </row>
    <row r="270" spans="2:9" x14ac:dyDescent="0.15">
      <c r="B270" s="5" t="s">
        <v>42</v>
      </c>
      <c r="C270" s="5" t="s">
        <v>4</v>
      </c>
      <c r="D270" s="5"/>
      <c r="E270" s="5" t="s">
        <v>136</v>
      </c>
      <c r="F270" s="5"/>
      <c r="G270" s="22" t="s">
        <v>324</v>
      </c>
      <c r="H270" s="22">
        <v>0</v>
      </c>
      <c r="I270" s="23">
        <v>0</v>
      </c>
    </row>
    <row r="271" spans="2:9" x14ac:dyDescent="0.15">
      <c r="B271" s="5" t="s">
        <v>50</v>
      </c>
      <c r="C271" s="5" t="s">
        <v>4</v>
      </c>
      <c r="D271" s="5"/>
      <c r="E271" s="5" t="s">
        <v>136</v>
      </c>
      <c r="F271" s="5"/>
      <c r="G271" s="22" t="s">
        <v>324</v>
      </c>
      <c r="H271" s="22">
        <v>0</v>
      </c>
      <c r="I271" s="23">
        <v>0</v>
      </c>
    </row>
    <row r="272" spans="2:9" x14ac:dyDescent="0.15">
      <c r="B272" s="5" t="s">
        <v>58</v>
      </c>
      <c r="C272" s="5" t="s">
        <v>4</v>
      </c>
      <c r="D272" s="5"/>
      <c r="E272" s="5" t="s">
        <v>136</v>
      </c>
      <c r="F272" s="5"/>
      <c r="G272" s="22" t="s">
        <v>324</v>
      </c>
      <c r="H272" s="22">
        <v>0</v>
      </c>
      <c r="I272" s="23">
        <v>0</v>
      </c>
    </row>
    <row r="273" spans="2:9" x14ac:dyDescent="0.15">
      <c r="B273" s="5" t="s">
        <v>66</v>
      </c>
      <c r="C273" s="5" t="s">
        <v>4</v>
      </c>
      <c r="D273" s="5"/>
      <c r="E273" s="5" t="s">
        <v>136</v>
      </c>
      <c r="F273" s="5"/>
      <c r="G273" s="22" t="s">
        <v>324</v>
      </c>
      <c r="H273" s="22">
        <v>0</v>
      </c>
      <c r="I273" s="23">
        <v>0</v>
      </c>
    </row>
    <row r="274" spans="2:9" x14ac:dyDescent="0.15">
      <c r="B274" s="5" t="s">
        <v>74</v>
      </c>
      <c r="C274" s="5" t="s">
        <v>4</v>
      </c>
      <c r="D274" s="5"/>
      <c r="E274" s="5" t="s">
        <v>136</v>
      </c>
      <c r="F274" s="5"/>
      <c r="G274" s="22" t="s">
        <v>324</v>
      </c>
      <c r="H274" s="22">
        <v>0</v>
      </c>
      <c r="I274" s="23">
        <v>0</v>
      </c>
    </row>
    <row r="275" spans="2:9" x14ac:dyDescent="0.15">
      <c r="B275" s="5" t="s">
        <v>143</v>
      </c>
      <c r="C275" s="5" t="s">
        <v>4</v>
      </c>
      <c r="D275" s="5"/>
      <c r="E275" s="5" t="s">
        <v>136</v>
      </c>
      <c r="F275" s="5"/>
      <c r="G275" s="22" t="s">
        <v>324</v>
      </c>
      <c r="H275" s="22">
        <v>0</v>
      </c>
      <c r="I275" s="23">
        <v>0</v>
      </c>
    </row>
    <row r="276" spans="2:9" x14ac:dyDescent="0.15">
      <c r="B276" s="5" t="s">
        <v>151</v>
      </c>
      <c r="C276" s="5" t="s">
        <v>4</v>
      </c>
      <c r="D276" s="5"/>
      <c r="E276" s="5" t="s">
        <v>136</v>
      </c>
      <c r="F276" s="5"/>
      <c r="G276" s="22" t="s">
        <v>324</v>
      </c>
      <c r="H276" s="22">
        <v>0</v>
      </c>
      <c r="I276" s="23">
        <v>0</v>
      </c>
    </row>
    <row r="277" spans="2:9" x14ac:dyDescent="0.15">
      <c r="B277" s="5" t="s">
        <v>159</v>
      </c>
      <c r="C277" s="5" t="s">
        <v>4</v>
      </c>
      <c r="D277" s="5"/>
      <c r="E277" s="5" t="s">
        <v>136</v>
      </c>
      <c r="F277" s="5"/>
      <c r="G277" s="22" t="s">
        <v>324</v>
      </c>
      <c r="H277" s="22">
        <v>0</v>
      </c>
      <c r="I277" s="23">
        <v>0</v>
      </c>
    </row>
    <row r="278" spans="2:9" x14ac:dyDescent="0.15">
      <c r="B278" s="5" t="s">
        <v>11</v>
      </c>
      <c r="C278" s="5" t="s">
        <v>4</v>
      </c>
      <c r="D278" s="5"/>
      <c r="E278" s="5" t="s">
        <v>136</v>
      </c>
      <c r="F278" s="5"/>
      <c r="G278" s="22" t="s">
        <v>324</v>
      </c>
      <c r="H278" s="22">
        <v>0</v>
      </c>
      <c r="I278" s="23">
        <v>0</v>
      </c>
    </row>
    <row r="279" spans="2:9" x14ac:dyDescent="0.15">
      <c r="B279" s="5" t="s">
        <v>19</v>
      </c>
      <c r="C279" s="5" t="s">
        <v>4</v>
      </c>
      <c r="D279" s="5"/>
      <c r="E279" s="5" t="s">
        <v>136</v>
      </c>
      <c r="F279" s="5"/>
      <c r="G279" s="22" t="s">
        <v>324</v>
      </c>
      <c r="H279" s="22">
        <v>0</v>
      </c>
      <c r="I279" s="23">
        <v>0</v>
      </c>
    </row>
    <row r="280" spans="2:9" x14ac:dyDescent="0.15">
      <c r="B280" s="5" t="s">
        <v>27</v>
      </c>
      <c r="C280" s="5" t="s">
        <v>4</v>
      </c>
      <c r="D280" s="5"/>
      <c r="E280" s="5" t="s">
        <v>136</v>
      </c>
      <c r="F280" s="5"/>
      <c r="G280" s="22" t="s">
        <v>324</v>
      </c>
      <c r="H280" s="22">
        <v>0</v>
      </c>
      <c r="I280" s="23">
        <v>0</v>
      </c>
    </row>
    <row r="281" spans="2:9" x14ac:dyDescent="0.15">
      <c r="B281" s="5" t="s">
        <v>35</v>
      </c>
      <c r="C281" s="5" t="s">
        <v>4</v>
      </c>
      <c r="D281" s="5"/>
      <c r="E281" s="5" t="s">
        <v>136</v>
      </c>
      <c r="F281" s="5"/>
      <c r="G281" s="22" t="s">
        <v>324</v>
      </c>
      <c r="H281" s="22">
        <v>0</v>
      </c>
      <c r="I281" s="23">
        <v>0</v>
      </c>
    </row>
    <row r="282" spans="2:9" x14ac:dyDescent="0.15">
      <c r="B282" s="5" t="s">
        <v>43</v>
      </c>
      <c r="C282" s="5" t="s">
        <v>4</v>
      </c>
      <c r="D282" s="5"/>
      <c r="E282" s="5" t="s">
        <v>136</v>
      </c>
      <c r="F282" s="5"/>
      <c r="G282" s="22" t="s">
        <v>324</v>
      </c>
      <c r="H282" s="22">
        <v>0</v>
      </c>
      <c r="I282" s="23">
        <v>0</v>
      </c>
    </row>
    <row r="283" spans="2:9" x14ac:dyDescent="0.15">
      <c r="B283" s="5" t="s">
        <v>51</v>
      </c>
      <c r="C283" s="5" t="s">
        <v>4</v>
      </c>
      <c r="D283" s="5"/>
      <c r="E283" s="5" t="s">
        <v>136</v>
      </c>
      <c r="F283" s="5"/>
      <c r="G283" s="22" t="s">
        <v>324</v>
      </c>
      <c r="H283" s="22">
        <v>0</v>
      </c>
      <c r="I283" s="23">
        <v>0</v>
      </c>
    </row>
    <row r="284" spans="2:9" x14ac:dyDescent="0.15">
      <c r="B284" s="5" t="s">
        <v>59</v>
      </c>
      <c r="C284" s="5" t="s">
        <v>4</v>
      </c>
      <c r="D284" s="5"/>
      <c r="E284" s="5" t="s">
        <v>136</v>
      </c>
      <c r="F284" s="5"/>
      <c r="G284" s="22" t="s">
        <v>324</v>
      </c>
      <c r="H284" s="22">
        <v>0</v>
      </c>
      <c r="I284" s="23">
        <v>0</v>
      </c>
    </row>
    <row r="285" spans="2:9" x14ac:dyDescent="0.15">
      <c r="B285" s="5" t="s">
        <v>67</v>
      </c>
      <c r="C285" s="5" t="s">
        <v>4</v>
      </c>
      <c r="D285" s="5"/>
      <c r="E285" s="5" t="s">
        <v>136</v>
      </c>
      <c r="F285" s="5"/>
      <c r="G285" s="22" t="s">
        <v>324</v>
      </c>
      <c r="H285" s="22">
        <v>0</v>
      </c>
      <c r="I285" s="23">
        <v>0</v>
      </c>
    </row>
    <row r="286" spans="2:9" x14ac:dyDescent="0.15">
      <c r="B286" s="5" t="s">
        <v>75</v>
      </c>
      <c r="C286" s="5" t="s">
        <v>4</v>
      </c>
      <c r="D286" s="5"/>
      <c r="E286" s="5" t="s">
        <v>136</v>
      </c>
      <c r="F286" s="5"/>
      <c r="G286" s="22" t="s">
        <v>324</v>
      </c>
      <c r="H286" s="22">
        <v>0</v>
      </c>
      <c r="I286" s="23">
        <v>0</v>
      </c>
    </row>
    <row r="287" spans="2:9" x14ac:dyDescent="0.15">
      <c r="B287" s="5" t="s">
        <v>144</v>
      </c>
      <c r="C287" s="5" t="s">
        <v>4</v>
      </c>
      <c r="D287" s="5"/>
      <c r="E287" s="5" t="s">
        <v>136</v>
      </c>
      <c r="F287" s="5"/>
      <c r="G287" s="22" t="s">
        <v>324</v>
      </c>
      <c r="H287" s="22">
        <v>0</v>
      </c>
      <c r="I287" s="23">
        <v>0</v>
      </c>
    </row>
    <row r="288" spans="2:9" x14ac:dyDescent="0.15">
      <c r="B288" s="5" t="s">
        <v>152</v>
      </c>
      <c r="C288" s="5" t="s">
        <v>4</v>
      </c>
      <c r="D288" s="5"/>
      <c r="E288" s="5" t="s">
        <v>136</v>
      </c>
      <c r="F288" s="5"/>
      <c r="G288" s="22" t="s">
        <v>324</v>
      </c>
      <c r="H288" s="22">
        <v>0</v>
      </c>
      <c r="I288" s="23">
        <v>0</v>
      </c>
    </row>
    <row r="289" spans="2:9" x14ac:dyDescent="0.15">
      <c r="B289" s="5" t="s">
        <v>160</v>
      </c>
      <c r="C289" s="5" t="s">
        <v>4</v>
      </c>
      <c r="D289" s="5"/>
      <c r="E289" s="5" t="s">
        <v>136</v>
      </c>
      <c r="F289" s="5"/>
      <c r="G289" s="22" t="s">
        <v>324</v>
      </c>
      <c r="H289" s="22">
        <v>0</v>
      </c>
      <c r="I289" s="23">
        <v>0</v>
      </c>
    </row>
    <row r="290" spans="2:9" s="10" customFormat="1" x14ac:dyDescent="0.15"/>
  </sheetData>
  <mergeCells count="2">
    <mergeCell ref="L3:W4"/>
    <mergeCell ref="L6:W7"/>
  </mergeCells>
  <conditionalFormatting sqref="O10">
    <cfRule type="cellIs" dxfId="80" priority="1" operator="equal">
      <formula>"NO"</formula>
    </cfRule>
    <cfRule type="cellIs" dxfId="79" priority="2" operator="equal">
      <formula>"OK"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theme="5"/>
  </sheetPr>
  <dimension ref="A1:R35"/>
  <sheetViews>
    <sheetView zoomScale="145" zoomScaleNormal="145" workbookViewId="0">
      <selection sqref="A1:B1"/>
    </sheetView>
  </sheetViews>
  <sheetFormatPr defaultRowHeight="10.5" x14ac:dyDescent="0.15"/>
  <cols>
    <col min="1" max="1" width="27.33203125" style="11" customWidth="1"/>
    <col min="2" max="2" width="68.33203125" style="11" bestFit="1" customWidth="1"/>
    <col min="3" max="3" width="9.33203125" style="11"/>
    <col min="4" max="4" width="9.33203125" style="11" customWidth="1"/>
    <col min="5" max="5" width="36.83203125" style="11" customWidth="1"/>
    <col min="6" max="6" width="16.83203125" style="11" customWidth="1"/>
    <col min="7" max="7" width="9.33203125" style="11"/>
    <col min="8" max="8" width="10.33203125" style="11" bestFit="1" customWidth="1"/>
    <col min="9" max="16384" width="9.33203125" style="11"/>
  </cols>
  <sheetData>
    <row r="1" spans="1:18" ht="23.25" x14ac:dyDescent="0.15">
      <c r="A1" s="109" t="s">
        <v>175</v>
      </c>
      <c r="B1" s="109"/>
      <c r="E1" s="111" t="s">
        <v>170</v>
      </c>
      <c r="F1" s="111"/>
    </row>
    <row r="2" spans="1:18" ht="12.75" customHeight="1" x14ac:dyDescent="0.15">
      <c r="A2" s="27" t="s">
        <v>174</v>
      </c>
      <c r="B2" s="13" t="str">
        <f ca="1">IFERROR(MID(CELL("nomefile",$A$1), FIND("[", CELL("nomefile",$A$1))+1, FIND("_analisi.xlsm]", CELL("nomefile",$A$1)) - FIND("[", CELL("nomefile",$A$1)) - 1), "NOME NON VALIDO")</f>
        <v>NOME NON VALIDO</v>
      </c>
    </row>
    <row r="3" spans="1:18" ht="12.75" x14ac:dyDescent="0.15">
      <c r="E3" s="112" t="s">
        <v>171</v>
      </c>
      <c r="F3" s="112"/>
    </row>
    <row r="4" spans="1:18" ht="12.75" x14ac:dyDescent="0.15">
      <c r="E4" s="14" t="s">
        <v>179</v>
      </c>
      <c r="F4" s="97" t="str">
        <f ca="1">IF(AND(LEN($B$2) = 10, MID($B$2,1,1)="V", ISNUMBER(VALUE(MID($B$2,2,LEN($B$2) - 1)))), "OK", "NO")</f>
        <v>NO</v>
      </c>
    </row>
    <row r="5" spans="1:18" ht="12.75" x14ac:dyDescent="0.15">
      <c r="C5" s="28"/>
      <c r="D5" s="13"/>
      <c r="E5" s="14" t="s">
        <v>178</v>
      </c>
      <c r="F5" s="97" t="str">
        <f ca="1">IF($B$2='Layout piastra'!B2, "OK", "NO")</f>
        <v>NO</v>
      </c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ht="12.75" x14ac:dyDescent="0.15">
      <c r="C6" s="13"/>
      <c r="D6" s="13"/>
      <c r="E6" s="14" t="s">
        <v>169</v>
      </c>
      <c r="F6" s="97" t="str">
        <f t="array" ref="F6">IF(AND(SUMPRODUCT(--('Layout piastra'!$C$10:$N$10={1,2,3,4,5,6,7,8,9,10,11,12}))=12, SUMPRODUCT(--(TRANSPOSE('Layout piastra'!$B$11:$B$18)={"A","B","C","D","E","F","G","H"}))=8,  (COUNTBLANK('Layout piastra'!$B$9:$O$9)+COUNTBLANK('Layout piastra'!$O$10:$O$19)+COUNTBLANK('Layout piastra'!$A$19:$N$19)+COUNTBLANK('Layout piastra'!$A$9:$A$18))&gt;44),"OK","NO" )</f>
        <v>OK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ht="23.25" x14ac:dyDescent="0.15">
      <c r="A7" s="110" t="s">
        <v>176</v>
      </c>
      <c r="B7" s="110"/>
      <c r="C7" s="13"/>
      <c r="D7" s="13"/>
      <c r="E7" s="14"/>
      <c r="F7" s="97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8" x14ac:dyDescent="0.15">
      <c r="A8" s="29" t="str">
        <f ca="1">HYPERLINK(B8, "File piastra")</f>
        <v>File piastra</v>
      </c>
      <c r="B8" s="13" t="str">
        <f ca="1">IF($B$2 = "NOME NON VALIDO", "PERCORSO NON VALIDO","\\FLUIDFS-PROD2\dma\COVID19\Realtime\" &amp; MID($B$2, 3, 6) &amp; "\" &amp; $B$2 &amp; ".xlsx")</f>
        <v>PERCORSO NON VALIDO</v>
      </c>
      <c r="C8" s="13"/>
      <c r="D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x14ac:dyDescent="0.15">
      <c r="A9" s="29" t="str">
        <f ca="1">HYPERLINK(B9, "File biorad")</f>
        <v>File biorad</v>
      </c>
      <c r="B9" s="13" t="str">
        <f ca="1">IF($B$2="NOME NON VALIDO", "PERCORSO NON VALIDO","\\FLUIDFS-PROD2\dma\COVID19\Risultati\Corse Realtime\"&amp;MID($B$2,3,6)&amp;"\"&amp;$B$2&amp;".pcrd")</f>
        <v>PERCORSO NON VALIDO</v>
      </c>
      <c r="C9" s="13"/>
      <c r="D9" s="13"/>
      <c r="E9" s="112" t="s">
        <v>356</v>
      </c>
      <c r="F9" s="112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ht="12.75" x14ac:dyDescent="0.15">
      <c r="C10" s="13"/>
      <c r="D10" s="13"/>
      <c r="E10" s="14" t="s">
        <v>85</v>
      </c>
      <c r="F10" s="97" t="str">
        <f t="array" ref="F10">IF(AND(SUMPRODUCT(--(TRANSPOSE(TEXT('Curve Cy5'!$B$1:$B$46,"standard"))={"Cycle","1","2","3","4","5","6","7","8","9","10","11","12","13","14","15","16","17","18","19","20","21","22","23","24","25","26","27","28","29","30","31","32","33","34","35","36","37","38","39","40","41","42","43","44","45"})) = 46, SUMPRODUCT(--('Curve Cy5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Cy5'!$B$47:$CU$47)+COUNTBLANK('Curve Cy5'!$CU$1:$CU$46)=144),"OK","NO")</f>
        <v>NO</v>
      </c>
      <c r="G10" s="30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ht="12.75" x14ac:dyDescent="0.15">
      <c r="C11" s="13"/>
      <c r="D11" s="13"/>
      <c r="E11" s="14" t="s">
        <v>3</v>
      </c>
      <c r="F11" s="104" t="str">
        <f t="array" ref="F11">IF(AND(SUMPRODUCT(--(TRANSPOSE(TEXT('Curve FAM'!$B$1:$B$46,"standard"))={"Cycle","1","2","3","4","5","6","7","8","9","10","11","12","13","14","15","16","17","18","19","20","21","22","23","24","25","26","27","28","29","30","31","32","33","34","35","36","37","38","39","40","41","42","43","44","45"})) = 46, SUMPRODUCT(--('Curve FAM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FAM'!$B$47:$CU$47)+COUNTBLANK('Curve FAM'!$CU$1:$CU$46)=144),"OK","NO")</f>
        <v>NO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ht="12.75" x14ac:dyDescent="0.15">
      <c r="C12" s="13"/>
      <c r="D12" s="13"/>
      <c r="E12" s="14" t="s">
        <v>4</v>
      </c>
      <c r="F12" s="104" t="str">
        <f t="array" ref="F12">IF(AND(SUMPRODUCT(--(TRANSPOSE(TEXT('Curve HEX'!$B$1:$B$46,"standard"))={"Cycle","1","2","3","4","5","6","7","8","9","10","11","12","13","14","15","16","17","18","19","20","21","22","23","24","25","26","27","28","29","30","31","32","33","34","35","36","37","38","39","40","41","42","43","44","45"})) = 46, SUMPRODUCT(--('Curve HEX'!$C$1:$CT$1={"A1","A2","A3","A4","A5","A6","A7","A8","A9","A10","A11","A12","B1","B2","B3","B4","B5","B6","B7","B8","B9","B10","B11","B12","C1","C2","C3","C4","C5","C6","C7","C8","C9","C10","C11","C12","D1","D2","D3","D4","D5","D6","D7","D8","D9","D10","D11","D12","E1","E2","E3","E4","E5","E6","E7","E8","E9","E10","E11","E12","F1","F2","F3","F4","F5","F6","F7","F8","F9","F10","F11","F12","G1","G2","G3","G4","G5","G6","G7","G8","G9","G10","G11","G12","H1","H2","H3","H4","H5","H6","H7","H8","H9","H10","H11","H12"})) = 96, COUNTBLANK('Curve HEX'!$B$47:$CU$47)+COUNTBLANK('Curve HEX'!$CU$1:$CU$46)=144),"OK","NO")</f>
        <v>NO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ht="12.75" x14ac:dyDescent="0.15">
      <c r="B13" s="31"/>
      <c r="C13" s="13"/>
      <c r="D13" s="13"/>
      <c r="E13" s="14" t="s">
        <v>375</v>
      </c>
      <c r="F13" s="97" t="str">
        <f>IF(AND('Curve FAM'!$B2:$CT46&lt;&gt;'Curve HEX'!$B$2:$CT$46,'Curve FAM'!$B2:$CT46&lt;&gt;'Curve Cy5'!$B$2:$CT$46,'Curve HEX'!$B2:$CT46&lt;&gt;'Curve Cy5'!$B$2:$CT$46), "OK", "NO")</f>
        <v>NO</v>
      </c>
      <c r="G13" s="13"/>
      <c r="H13" s="13"/>
      <c r="I13" s="28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15">
      <c r="B14" s="13"/>
      <c r="C14" s="13"/>
      <c r="D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15">
      <c r="B15" s="13"/>
      <c r="C15" s="13"/>
      <c r="D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ht="12.75" x14ac:dyDescent="0.15">
      <c r="B16" s="13"/>
      <c r="C16" s="13"/>
      <c r="D16" s="13"/>
      <c r="E16" s="112" t="s">
        <v>173</v>
      </c>
      <c r="F16" s="112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ht="12.75" x14ac:dyDescent="0.15">
      <c r="B17" s="13"/>
      <c r="C17" s="28"/>
      <c r="D17" s="13"/>
      <c r="E17" s="14" t="s">
        <v>172</v>
      </c>
      <c r="F17" s="97" t="str">
        <f>IF(SUMPRODUCT(--('Risultato Biorad'!$B$1:$I$1={"Well","Fluor","Target","Content","Sample","Cq","Cq Mean","Cq Std. Dev"})) = 8,"OK","NO" )</f>
        <v>OK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15">
      <c r="B18" s="13"/>
      <c r="C18" s="13"/>
      <c r="D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15">
      <c r="B19" s="13"/>
      <c r="C19" s="13"/>
      <c r="D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ht="20.25" x14ac:dyDescent="0.15">
      <c r="B20" s="13"/>
      <c r="C20" s="13"/>
      <c r="D20" s="13"/>
      <c r="E20" s="113" t="s">
        <v>177</v>
      </c>
      <c r="F20" s="1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ht="12.75" x14ac:dyDescent="0.15">
      <c r="B21" s="28"/>
      <c r="C21" s="13"/>
      <c r="D21" s="13"/>
      <c r="E21" s="108" t="str">
        <f ca="1">IF(COUNTIF(F3:F17,"=NO")= 0,"OK", "NO")</f>
        <v>NO</v>
      </c>
      <c r="F21" s="108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15">
      <c r="B22" s="13"/>
      <c r="C22" s="13"/>
      <c r="D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15">
      <c r="C23" s="13"/>
      <c r="D23" s="13"/>
      <c r="E23" s="13"/>
      <c r="F23" s="13"/>
      <c r="G23" s="13"/>
      <c r="H23" s="13"/>
      <c r="I23" s="28"/>
      <c r="J23" s="13"/>
      <c r="K23" s="13"/>
      <c r="L23" s="13"/>
      <c r="M23" s="13"/>
      <c r="N23" s="13"/>
      <c r="O23" s="13"/>
      <c r="P23" s="13"/>
      <c r="Q23" s="13"/>
      <c r="R23" s="13"/>
    </row>
    <row r="24" spans="1:18" ht="7.5" customHeight="1" x14ac:dyDescent="0.15">
      <c r="A24" s="31"/>
      <c r="B24" s="13"/>
      <c r="C24" s="28"/>
      <c r="D24" s="13"/>
      <c r="E24" s="13"/>
      <c r="F24" s="13"/>
      <c r="G24" s="13"/>
      <c r="H24" s="13"/>
      <c r="I24" s="28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15"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35" spans="7:7" x14ac:dyDescent="0.15">
      <c r="G35" s="31"/>
    </row>
  </sheetData>
  <sheetProtection sheet="1" objects="1" scenarios="1"/>
  <mergeCells count="8">
    <mergeCell ref="E21:F21"/>
    <mergeCell ref="A1:B1"/>
    <mergeCell ref="A7:B7"/>
    <mergeCell ref="E1:F1"/>
    <mergeCell ref="E3:F3"/>
    <mergeCell ref="E20:F20"/>
    <mergeCell ref="E16:F16"/>
    <mergeCell ref="E9:F9"/>
  </mergeCells>
  <conditionalFormatting sqref="F17">
    <cfRule type="cellIs" dxfId="78" priority="16" operator="equal">
      <formula>"NO"</formula>
    </cfRule>
    <cfRule type="cellIs" dxfId="77" priority="17" operator="equal">
      <formula>"OK"</formula>
    </cfRule>
  </conditionalFormatting>
  <conditionalFormatting sqref="F5">
    <cfRule type="cellIs" dxfId="76" priority="14" operator="equal">
      <formula>"NO"</formula>
    </cfRule>
    <cfRule type="cellIs" dxfId="75" priority="15" operator="equal">
      <formula>"OK"</formula>
    </cfRule>
  </conditionalFormatting>
  <conditionalFormatting sqref="F6">
    <cfRule type="cellIs" dxfId="74" priority="12" operator="equal">
      <formula>"NO"</formula>
    </cfRule>
    <cfRule type="cellIs" dxfId="73" priority="13" operator="equal">
      <formula>"OK"</formula>
    </cfRule>
  </conditionalFormatting>
  <conditionalFormatting sqref="E21">
    <cfRule type="cellIs" dxfId="72" priority="10" operator="equal">
      <formula>"NO"</formula>
    </cfRule>
    <cfRule type="cellIs" dxfId="71" priority="11" operator="equal">
      <formula>"OK"</formula>
    </cfRule>
  </conditionalFormatting>
  <conditionalFormatting sqref="F4">
    <cfRule type="cellIs" dxfId="70" priority="8" operator="equal">
      <formula>"NO"</formula>
    </cfRule>
    <cfRule type="cellIs" dxfId="69" priority="9" operator="equal">
      <formula>"OK"</formula>
    </cfRule>
  </conditionalFormatting>
  <conditionalFormatting sqref="B2">
    <cfRule type="cellIs" dxfId="68" priority="7" operator="equal">
      <formula>"NOME NON VALIDO"</formula>
    </cfRule>
  </conditionalFormatting>
  <conditionalFormatting sqref="F7">
    <cfRule type="cellIs" dxfId="67" priority="5" operator="equal">
      <formula>"NO"</formula>
    </cfRule>
    <cfRule type="cellIs" dxfId="66" priority="6" operator="equal">
      <formula>"OK"</formula>
    </cfRule>
  </conditionalFormatting>
  <conditionalFormatting sqref="F10:F12">
    <cfRule type="cellIs" dxfId="65" priority="3" operator="equal">
      <formula>"NO"</formula>
    </cfRule>
    <cfRule type="cellIs" dxfId="64" priority="4" operator="equal">
      <formula>"OK"</formula>
    </cfRule>
  </conditionalFormatting>
  <conditionalFormatting sqref="F13">
    <cfRule type="cellIs" dxfId="63" priority="1" operator="equal">
      <formula>"NO"</formula>
    </cfRule>
    <cfRule type="cellIs" dxfId="62" priority="2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U25"/>
  <sheetViews>
    <sheetView tabSelected="1" zoomScale="160" zoomScaleNormal="160" workbookViewId="0">
      <selection activeCell="B13" sqref="B13"/>
    </sheetView>
  </sheetViews>
  <sheetFormatPr defaultRowHeight="10.5" x14ac:dyDescent="0.15"/>
  <cols>
    <col min="1" max="1" width="22.1640625" style="11" bestFit="1" customWidth="1"/>
    <col min="2" max="2" width="17.1640625" style="11" bestFit="1" customWidth="1"/>
    <col min="3" max="3" width="21.33203125" style="11" customWidth="1"/>
    <col min="4" max="4" width="19.83203125" style="11" customWidth="1"/>
    <col min="5" max="5" width="18.1640625" style="11" customWidth="1"/>
    <col min="6" max="6" width="18.83203125" style="11" customWidth="1"/>
    <col min="7" max="7" width="15.83203125" style="11" customWidth="1"/>
    <col min="8" max="8" width="7.6640625" style="11" customWidth="1"/>
    <col min="9" max="21" width="3.33203125" style="11" customWidth="1"/>
    <col min="22" max="29" width="3.1640625" style="11" customWidth="1"/>
    <col min="30" max="16384" width="9.33203125" style="11"/>
  </cols>
  <sheetData>
    <row r="1" spans="1:21" x14ac:dyDescent="0.15">
      <c r="B1" s="24" t="s">
        <v>264</v>
      </c>
    </row>
    <row r="2" spans="1:21" ht="12.75" x14ac:dyDescent="0.15">
      <c r="A2" s="32" t="s">
        <v>263</v>
      </c>
      <c r="B2" s="11" t="str">
        <f>elaboration!$B$6</f>
        <v>A1</v>
      </c>
      <c r="I2" s="33" t="s">
        <v>265</v>
      </c>
    </row>
    <row r="3" spans="1:21" ht="11.25" thickBot="1" x14ac:dyDescent="0.2">
      <c r="A3" s="32" t="s">
        <v>116</v>
      </c>
      <c r="B3" s="11" t="str">
        <f ca="1">elaboration!$B$11</f>
        <v/>
      </c>
      <c r="C3" s="32" t="s">
        <v>326</v>
      </c>
      <c r="I3" s="34"/>
      <c r="J3" s="34">
        <v>1</v>
      </c>
      <c r="K3" s="34">
        <v>2</v>
      </c>
      <c r="L3" s="34">
        <v>3</v>
      </c>
      <c r="M3" s="34">
        <v>4</v>
      </c>
      <c r="N3" s="34">
        <v>5</v>
      </c>
      <c r="O3" s="34">
        <v>6</v>
      </c>
      <c r="P3" s="34">
        <v>7</v>
      </c>
      <c r="Q3" s="34">
        <v>8</v>
      </c>
      <c r="R3" s="34">
        <v>9</v>
      </c>
      <c r="S3" s="34">
        <v>10</v>
      </c>
      <c r="T3" s="34">
        <v>11</v>
      </c>
      <c r="U3" s="34">
        <v>12</v>
      </c>
    </row>
    <row r="4" spans="1:21" ht="12" thickTop="1" thickBot="1" x14ac:dyDescent="0.2">
      <c r="A4" s="32" t="s">
        <v>311</v>
      </c>
      <c r="B4" s="11" t="str">
        <f>IF(elaboration!$B$20, "Sì", "No")</f>
        <v>Sì</v>
      </c>
      <c r="I4" s="34" t="s">
        <v>122</v>
      </c>
      <c r="J4" s="35" t="str">
        <f ca="1">VLOOKUP(INDIRECT(ADDRESS(ROW(),COLUMN(auto_result)))&amp;INDIRECT(ADDRESS(ROW(auto_result),COLUMN())),analysis_table[],14,FALSE)</f>
        <v/>
      </c>
      <c r="K4" s="35" t="str">
        <f ca="1">VLOOKUP(INDIRECT(ADDRESS(ROW(),COLUMN(auto_result)))&amp;INDIRECT(ADDRESS(ROW(auto_result),COLUMN())),analysis_table[],14,FALSE)</f>
        <v/>
      </c>
      <c r="L4" s="35" t="str">
        <f ca="1">VLOOKUP(INDIRECT(ADDRESS(ROW(),COLUMN(auto_result)))&amp;INDIRECT(ADDRESS(ROW(auto_result),COLUMN())),analysis_table[],14,FALSE)</f>
        <v/>
      </c>
      <c r="M4" s="35" t="str">
        <f ca="1">VLOOKUP(INDIRECT(ADDRESS(ROW(),COLUMN(auto_result)))&amp;INDIRECT(ADDRESS(ROW(auto_result),COLUMN())),analysis_table[],14,FALSE)</f>
        <v/>
      </c>
      <c r="N4" s="35" t="str">
        <f ca="1">VLOOKUP(INDIRECT(ADDRESS(ROW(),COLUMN(auto_result)))&amp;INDIRECT(ADDRESS(ROW(auto_result),COLUMN())),analysis_table[],14,FALSE)</f>
        <v/>
      </c>
      <c r="O4" s="35" t="str">
        <f ca="1">VLOOKUP(INDIRECT(ADDRESS(ROW(),COLUMN(auto_result)))&amp;INDIRECT(ADDRESS(ROW(auto_result),COLUMN())),analysis_table[],14,FALSE)</f>
        <v/>
      </c>
      <c r="P4" s="35" t="str">
        <f ca="1">VLOOKUP(INDIRECT(ADDRESS(ROW(),COLUMN(auto_result)))&amp;INDIRECT(ADDRESS(ROW(auto_result),COLUMN())),analysis_table[],14,FALSE)</f>
        <v/>
      </c>
      <c r="Q4" s="35" t="str">
        <f ca="1">VLOOKUP(INDIRECT(ADDRESS(ROW(),COLUMN(auto_result)))&amp;INDIRECT(ADDRESS(ROW(auto_result),COLUMN())),analysis_table[],14,FALSE)</f>
        <v/>
      </c>
      <c r="R4" s="35" t="str">
        <f ca="1">VLOOKUP(INDIRECT(ADDRESS(ROW(),COLUMN(auto_result)))&amp;INDIRECT(ADDRESS(ROW(auto_result),COLUMN())),analysis_table[],14,FALSE)</f>
        <v/>
      </c>
      <c r="S4" s="35" t="str">
        <f ca="1">VLOOKUP(INDIRECT(ADDRESS(ROW(),COLUMN(auto_result)))&amp;INDIRECT(ADDRESS(ROW(auto_result),COLUMN())),analysis_table[],14,FALSE)</f>
        <v/>
      </c>
      <c r="T4" s="35" t="str">
        <f ca="1">VLOOKUP(INDIRECT(ADDRESS(ROW(),COLUMN(auto_result)))&amp;INDIRECT(ADDRESS(ROW(auto_result),COLUMN())),analysis_table[],14,FALSE)</f>
        <v/>
      </c>
      <c r="U4" s="35" t="str">
        <f ca="1">VLOOKUP(INDIRECT(ADDRESS(ROW(),COLUMN(auto_result)))&amp;INDIRECT(ADDRESS(ROW(auto_result),COLUMN())),analysis_table[],14,FALSE)</f>
        <v/>
      </c>
    </row>
    <row r="5" spans="1:21" ht="12" thickTop="1" thickBot="1" x14ac:dyDescent="0.2">
      <c r="A5" s="32" t="s">
        <v>265</v>
      </c>
      <c r="B5" s="11" t="str">
        <f ca="1">elaboration!$B$25</f>
        <v/>
      </c>
      <c r="I5" s="34" t="s">
        <v>123</v>
      </c>
      <c r="J5" s="35" t="str">
        <f ca="1">VLOOKUP(INDIRECT(ADDRESS(ROW(),COLUMN(auto_result)))&amp;INDIRECT(ADDRESS(ROW(auto_result),COLUMN())),analysis_table[],14,FALSE)</f>
        <v/>
      </c>
      <c r="K5" s="35" t="str">
        <f ca="1">VLOOKUP(INDIRECT(ADDRESS(ROW(),COLUMN(auto_result)))&amp;INDIRECT(ADDRESS(ROW(auto_result),COLUMN())),analysis_table[],14,FALSE)</f>
        <v/>
      </c>
      <c r="L5" s="35" t="str">
        <f ca="1">VLOOKUP(INDIRECT(ADDRESS(ROW(),COLUMN(auto_result)))&amp;INDIRECT(ADDRESS(ROW(auto_result),COLUMN())),analysis_table[],14,FALSE)</f>
        <v/>
      </c>
      <c r="M5" s="35" t="str">
        <f ca="1">VLOOKUP(INDIRECT(ADDRESS(ROW(),COLUMN(auto_result)))&amp;INDIRECT(ADDRESS(ROW(auto_result),COLUMN())),analysis_table[],14,FALSE)</f>
        <v/>
      </c>
      <c r="N5" s="35" t="str">
        <f ca="1">VLOOKUP(INDIRECT(ADDRESS(ROW(),COLUMN(auto_result)))&amp;INDIRECT(ADDRESS(ROW(auto_result),COLUMN())),analysis_table[],14,FALSE)</f>
        <v/>
      </c>
      <c r="O5" s="35" t="str">
        <f ca="1">VLOOKUP(INDIRECT(ADDRESS(ROW(),COLUMN(auto_result)))&amp;INDIRECT(ADDRESS(ROW(auto_result),COLUMN())),analysis_table[],14,FALSE)</f>
        <v/>
      </c>
      <c r="P5" s="35" t="str">
        <f ca="1">VLOOKUP(INDIRECT(ADDRESS(ROW(),COLUMN(auto_result)))&amp;INDIRECT(ADDRESS(ROW(auto_result),COLUMN())),analysis_table[],14,FALSE)</f>
        <v/>
      </c>
      <c r="Q5" s="35" t="str">
        <f ca="1">VLOOKUP(INDIRECT(ADDRESS(ROW(),COLUMN(auto_result)))&amp;INDIRECT(ADDRESS(ROW(auto_result),COLUMN())),analysis_table[],14,FALSE)</f>
        <v/>
      </c>
      <c r="R5" s="35" t="str">
        <f ca="1">VLOOKUP(INDIRECT(ADDRESS(ROW(),COLUMN(auto_result)))&amp;INDIRECT(ADDRESS(ROW(auto_result),COLUMN())),analysis_table[],14,FALSE)</f>
        <v/>
      </c>
      <c r="S5" s="35" t="str">
        <f ca="1">VLOOKUP(INDIRECT(ADDRESS(ROW(),COLUMN(auto_result)))&amp;INDIRECT(ADDRESS(ROW(auto_result),COLUMN())),analysis_table[],14,FALSE)</f>
        <v/>
      </c>
      <c r="T5" s="35" t="str">
        <f ca="1">VLOOKUP(INDIRECT(ADDRESS(ROW(),COLUMN(auto_result)))&amp;INDIRECT(ADDRESS(ROW(auto_result),COLUMN())),analysis_table[],14,FALSE)</f>
        <v/>
      </c>
      <c r="U5" s="35" t="str">
        <f ca="1">VLOOKUP(INDIRECT(ADDRESS(ROW(),COLUMN(auto_result)))&amp;INDIRECT(ADDRESS(ROW(auto_result),COLUMN())),analysis_table[],14,FALSE)</f>
        <v/>
      </c>
    </row>
    <row r="6" spans="1:21" ht="12" thickTop="1" thickBot="1" x14ac:dyDescent="0.2">
      <c r="A6" s="32" t="s">
        <v>372</v>
      </c>
      <c r="B6" s="27" t="str">
        <f>elaboration!$B$24</f>
        <v>nnn</v>
      </c>
      <c r="I6" s="34" t="s">
        <v>124</v>
      </c>
      <c r="J6" s="35" t="str">
        <f ca="1">VLOOKUP(INDIRECT(ADDRESS(ROW(),COLUMN(auto_result)))&amp;INDIRECT(ADDRESS(ROW(auto_result),COLUMN())),analysis_table[],14,FALSE)</f>
        <v/>
      </c>
      <c r="K6" s="35" t="str">
        <f ca="1">VLOOKUP(INDIRECT(ADDRESS(ROW(),COLUMN(auto_result)))&amp;INDIRECT(ADDRESS(ROW(auto_result),COLUMN())),analysis_table[],14,FALSE)</f>
        <v/>
      </c>
      <c r="L6" s="35" t="str">
        <f ca="1">VLOOKUP(INDIRECT(ADDRESS(ROW(),COLUMN(auto_result)))&amp;INDIRECT(ADDRESS(ROW(auto_result),COLUMN())),analysis_table[],14,FALSE)</f>
        <v/>
      </c>
      <c r="M6" s="35" t="str">
        <f ca="1">VLOOKUP(INDIRECT(ADDRESS(ROW(),COLUMN(auto_result)))&amp;INDIRECT(ADDRESS(ROW(auto_result),COLUMN())),analysis_table[],14,FALSE)</f>
        <v/>
      </c>
      <c r="N6" s="35" t="str">
        <f ca="1">VLOOKUP(INDIRECT(ADDRESS(ROW(),COLUMN(auto_result)))&amp;INDIRECT(ADDRESS(ROW(auto_result),COLUMN())),analysis_table[],14,FALSE)</f>
        <v/>
      </c>
      <c r="O6" s="35" t="str">
        <f ca="1">VLOOKUP(INDIRECT(ADDRESS(ROW(),COLUMN(auto_result)))&amp;INDIRECT(ADDRESS(ROW(auto_result),COLUMN())),analysis_table[],14,FALSE)</f>
        <v/>
      </c>
      <c r="P6" s="35" t="str">
        <f ca="1">VLOOKUP(INDIRECT(ADDRESS(ROW(),COLUMN(auto_result)))&amp;INDIRECT(ADDRESS(ROW(auto_result),COLUMN())),analysis_table[],14,FALSE)</f>
        <v/>
      </c>
      <c r="Q6" s="35" t="str">
        <f ca="1">VLOOKUP(INDIRECT(ADDRESS(ROW(),COLUMN(auto_result)))&amp;INDIRECT(ADDRESS(ROW(auto_result),COLUMN())),analysis_table[],14,FALSE)</f>
        <v/>
      </c>
      <c r="R6" s="35" t="str">
        <f ca="1">VLOOKUP(INDIRECT(ADDRESS(ROW(),COLUMN(auto_result)))&amp;INDIRECT(ADDRESS(ROW(auto_result),COLUMN())),analysis_table[],14,FALSE)</f>
        <v/>
      </c>
      <c r="S6" s="35" t="str">
        <f ca="1">VLOOKUP(INDIRECT(ADDRESS(ROW(),COLUMN(auto_result)))&amp;INDIRECT(ADDRESS(ROW(auto_result),COLUMN())),analysis_table[],14,FALSE)</f>
        <v/>
      </c>
      <c r="T6" s="35" t="str">
        <f ca="1">VLOOKUP(INDIRECT(ADDRESS(ROW(),COLUMN(auto_result)))&amp;INDIRECT(ADDRESS(ROW(auto_result),COLUMN())),analysis_table[],14,FALSE)</f>
        <v/>
      </c>
      <c r="U6" s="35" t="str">
        <f ca="1">VLOOKUP(INDIRECT(ADDRESS(ROW(),COLUMN(auto_result)))&amp;INDIRECT(ADDRESS(ROW(auto_result),COLUMN())),analysis_table[],14,FALSE)</f>
        <v/>
      </c>
    </row>
    <row r="7" spans="1:21" ht="12" thickTop="1" thickBot="1" x14ac:dyDescent="0.2">
      <c r="A7" s="32" t="s">
        <v>115</v>
      </c>
      <c r="B7" s="11" t="str">
        <f>elaboration!$B$26</f>
        <v/>
      </c>
      <c r="I7" s="34" t="s">
        <v>125</v>
      </c>
      <c r="J7" s="35" t="str">
        <f ca="1">VLOOKUP(INDIRECT(ADDRESS(ROW(),COLUMN(auto_result)))&amp;INDIRECT(ADDRESS(ROW(auto_result),COLUMN())),analysis_table[],14,FALSE)</f>
        <v/>
      </c>
      <c r="K7" s="35" t="str">
        <f ca="1">VLOOKUP(INDIRECT(ADDRESS(ROW(),COLUMN(auto_result)))&amp;INDIRECT(ADDRESS(ROW(auto_result),COLUMN())),analysis_table[],14,FALSE)</f>
        <v/>
      </c>
      <c r="L7" s="35" t="str">
        <f ca="1">VLOOKUP(INDIRECT(ADDRESS(ROW(),COLUMN(auto_result)))&amp;INDIRECT(ADDRESS(ROW(auto_result),COLUMN())),analysis_table[],14,FALSE)</f>
        <v/>
      </c>
      <c r="M7" s="35" t="str">
        <f ca="1">VLOOKUP(INDIRECT(ADDRESS(ROW(),COLUMN(auto_result)))&amp;INDIRECT(ADDRESS(ROW(auto_result),COLUMN())),analysis_table[],14,FALSE)</f>
        <v/>
      </c>
      <c r="N7" s="35" t="str">
        <f ca="1">VLOOKUP(INDIRECT(ADDRESS(ROW(),COLUMN(auto_result)))&amp;INDIRECT(ADDRESS(ROW(auto_result),COLUMN())),analysis_table[],14,FALSE)</f>
        <v/>
      </c>
      <c r="O7" s="35" t="str">
        <f ca="1">VLOOKUP(INDIRECT(ADDRESS(ROW(),COLUMN(auto_result)))&amp;INDIRECT(ADDRESS(ROW(auto_result),COLUMN())),analysis_table[],14,FALSE)</f>
        <v/>
      </c>
      <c r="P7" s="35" t="str">
        <f ca="1">VLOOKUP(INDIRECT(ADDRESS(ROW(),COLUMN(auto_result)))&amp;INDIRECT(ADDRESS(ROW(auto_result),COLUMN())),analysis_table[],14,FALSE)</f>
        <v/>
      </c>
      <c r="Q7" s="35" t="str">
        <f ca="1">VLOOKUP(INDIRECT(ADDRESS(ROW(),COLUMN(auto_result)))&amp;INDIRECT(ADDRESS(ROW(auto_result),COLUMN())),analysis_table[],14,FALSE)</f>
        <v/>
      </c>
      <c r="R7" s="35" t="str">
        <f ca="1">VLOOKUP(INDIRECT(ADDRESS(ROW(),COLUMN(auto_result)))&amp;INDIRECT(ADDRESS(ROW(auto_result),COLUMN())),analysis_table[],14,FALSE)</f>
        <v/>
      </c>
      <c r="S7" s="35" t="str">
        <f ca="1">VLOOKUP(INDIRECT(ADDRESS(ROW(),COLUMN(auto_result)))&amp;INDIRECT(ADDRESS(ROW(auto_result),COLUMN())),analysis_table[],14,FALSE)</f>
        <v/>
      </c>
      <c r="T7" s="35" t="str">
        <f ca="1">VLOOKUP(INDIRECT(ADDRESS(ROW(),COLUMN(auto_result)))&amp;INDIRECT(ADDRESS(ROW(auto_result),COLUMN())),analysis_table[],14,FALSE)</f>
        <v/>
      </c>
      <c r="U7" s="35" t="str">
        <f ca="1">VLOOKUP(INDIRECT(ADDRESS(ROW(),COLUMN(auto_result)))&amp;INDIRECT(ADDRESS(ROW(auto_result),COLUMN())),analysis_table[],14,FALSE)</f>
        <v/>
      </c>
    </row>
    <row r="8" spans="1:21" ht="12" thickTop="1" thickBot="1" x14ac:dyDescent="0.2">
      <c r="A8" s="32" t="s">
        <v>387</v>
      </c>
      <c r="B8" s="11" t="str">
        <f ca="1">elaboration!$B$27</f>
        <v/>
      </c>
      <c r="I8" s="34" t="s">
        <v>126</v>
      </c>
      <c r="J8" s="35" t="str">
        <f ca="1">VLOOKUP(INDIRECT(ADDRESS(ROW(),COLUMN(auto_result)))&amp;INDIRECT(ADDRESS(ROW(auto_result),COLUMN())),analysis_table[],14,FALSE)</f>
        <v/>
      </c>
      <c r="K8" s="35" t="str">
        <f ca="1">VLOOKUP(INDIRECT(ADDRESS(ROW(),COLUMN(auto_result)))&amp;INDIRECT(ADDRESS(ROW(auto_result),COLUMN())),analysis_table[],14,FALSE)</f>
        <v/>
      </c>
      <c r="L8" s="35" t="str">
        <f ca="1">VLOOKUP(INDIRECT(ADDRESS(ROW(),COLUMN(auto_result)))&amp;INDIRECT(ADDRESS(ROW(auto_result),COLUMN())),analysis_table[],14,FALSE)</f>
        <v/>
      </c>
      <c r="M8" s="35" t="str">
        <f ca="1">VLOOKUP(INDIRECT(ADDRESS(ROW(),COLUMN(auto_result)))&amp;INDIRECT(ADDRESS(ROW(auto_result),COLUMN())),analysis_table[],14,FALSE)</f>
        <v/>
      </c>
      <c r="N8" s="35" t="str">
        <f ca="1">VLOOKUP(INDIRECT(ADDRESS(ROW(),COLUMN(auto_result)))&amp;INDIRECT(ADDRESS(ROW(auto_result),COLUMN())),analysis_table[],14,FALSE)</f>
        <v/>
      </c>
      <c r="O8" s="35" t="str">
        <f ca="1">VLOOKUP(INDIRECT(ADDRESS(ROW(),COLUMN(auto_result)))&amp;INDIRECT(ADDRESS(ROW(auto_result),COLUMN())),analysis_table[],14,FALSE)</f>
        <v/>
      </c>
      <c r="P8" s="35" t="str">
        <f ca="1">VLOOKUP(INDIRECT(ADDRESS(ROW(),COLUMN(auto_result)))&amp;INDIRECT(ADDRESS(ROW(auto_result),COLUMN())),analysis_table[],14,FALSE)</f>
        <v/>
      </c>
      <c r="Q8" s="35" t="str">
        <f ca="1">VLOOKUP(INDIRECT(ADDRESS(ROW(),COLUMN(auto_result)))&amp;INDIRECT(ADDRESS(ROW(auto_result),COLUMN())),analysis_table[],14,FALSE)</f>
        <v/>
      </c>
      <c r="R8" s="35" t="str">
        <f ca="1">VLOOKUP(INDIRECT(ADDRESS(ROW(),COLUMN(auto_result)))&amp;INDIRECT(ADDRESS(ROW(auto_result),COLUMN())),analysis_table[],14,FALSE)</f>
        <v/>
      </c>
      <c r="S8" s="35" t="str">
        <f ca="1">VLOOKUP(INDIRECT(ADDRESS(ROW(),COLUMN(auto_result)))&amp;INDIRECT(ADDRESS(ROW(auto_result),COLUMN())),analysis_table[],14,FALSE)</f>
        <v/>
      </c>
      <c r="T8" s="35" t="str">
        <f ca="1">VLOOKUP(INDIRECT(ADDRESS(ROW(),COLUMN(auto_result)))&amp;INDIRECT(ADDRESS(ROW(auto_result),COLUMN())),analysis_table[],14,FALSE)</f>
        <v/>
      </c>
      <c r="U8" s="35" t="str">
        <f ca="1">VLOOKUP(INDIRECT(ADDRESS(ROW(),COLUMN(auto_result)))&amp;INDIRECT(ADDRESS(ROW(auto_result),COLUMN())),analysis_table[],14,FALSE)</f>
        <v/>
      </c>
    </row>
    <row r="9" spans="1:21" ht="12" thickTop="1" thickBot="1" x14ac:dyDescent="0.2">
      <c r="E9" s="31"/>
      <c r="I9" s="34" t="s">
        <v>127</v>
      </c>
      <c r="J9" s="35" t="str">
        <f ca="1">VLOOKUP(INDIRECT(ADDRESS(ROW(),COLUMN(auto_result)))&amp;INDIRECT(ADDRESS(ROW(auto_result),COLUMN())),analysis_table[],14,FALSE)</f>
        <v/>
      </c>
      <c r="K9" s="35" t="str">
        <f ca="1">VLOOKUP(INDIRECT(ADDRESS(ROW(),COLUMN(auto_result)))&amp;INDIRECT(ADDRESS(ROW(auto_result),COLUMN())),analysis_table[],14,FALSE)</f>
        <v/>
      </c>
      <c r="L9" s="35" t="str">
        <f ca="1">VLOOKUP(INDIRECT(ADDRESS(ROW(),COLUMN(auto_result)))&amp;INDIRECT(ADDRESS(ROW(auto_result),COLUMN())),analysis_table[],14,FALSE)</f>
        <v/>
      </c>
      <c r="M9" s="35" t="str">
        <f ca="1">VLOOKUP(INDIRECT(ADDRESS(ROW(),COLUMN(auto_result)))&amp;INDIRECT(ADDRESS(ROW(auto_result),COLUMN())),analysis_table[],14,FALSE)</f>
        <v/>
      </c>
      <c r="N9" s="35" t="str">
        <f ca="1">VLOOKUP(INDIRECT(ADDRESS(ROW(),COLUMN(auto_result)))&amp;INDIRECT(ADDRESS(ROW(auto_result),COLUMN())),analysis_table[],14,FALSE)</f>
        <v/>
      </c>
      <c r="O9" s="35" t="str">
        <f ca="1">VLOOKUP(INDIRECT(ADDRESS(ROW(),COLUMN(auto_result)))&amp;INDIRECT(ADDRESS(ROW(auto_result),COLUMN())),analysis_table[],14,FALSE)</f>
        <v/>
      </c>
      <c r="P9" s="35" t="str">
        <f ca="1">VLOOKUP(INDIRECT(ADDRESS(ROW(),COLUMN(auto_result)))&amp;INDIRECT(ADDRESS(ROW(auto_result),COLUMN())),analysis_table[],14,FALSE)</f>
        <v/>
      </c>
      <c r="Q9" s="35" t="str">
        <f ca="1">VLOOKUP(INDIRECT(ADDRESS(ROW(),COLUMN(auto_result)))&amp;INDIRECT(ADDRESS(ROW(auto_result),COLUMN())),analysis_table[],14,FALSE)</f>
        <v/>
      </c>
      <c r="R9" s="35" t="str">
        <f ca="1">VLOOKUP(INDIRECT(ADDRESS(ROW(),COLUMN(auto_result)))&amp;INDIRECT(ADDRESS(ROW(auto_result),COLUMN())),analysis_table[],14,FALSE)</f>
        <v/>
      </c>
      <c r="S9" s="35" t="str">
        <f ca="1">VLOOKUP(INDIRECT(ADDRESS(ROW(),COLUMN(auto_result)))&amp;INDIRECT(ADDRESS(ROW(auto_result),COLUMN())),analysis_table[],14,FALSE)</f>
        <v/>
      </c>
      <c r="T9" s="35" t="str">
        <f ca="1">VLOOKUP(INDIRECT(ADDRESS(ROW(),COLUMN(auto_result)))&amp;INDIRECT(ADDRESS(ROW(auto_result),COLUMN())),analysis_table[],14,FALSE)</f>
        <v/>
      </c>
      <c r="U9" s="35" t="str">
        <f ca="1">VLOOKUP(INDIRECT(ADDRESS(ROW(),COLUMN(auto_result)))&amp;INDIRECT(ADDRESS(ROW(auto_result),COLUMN())),analysis_table[],14,FALSE)</f>
        <v/>
      </c>
    </row>
    <row r="10" spans="1:21" ht="12" thickTop="1" thickBot="1" x14ac:dyDescent="0.2">
      <c r="I10" s="34" t="s">
        <v>128</v>
      </c>
      <c r="J10" s="35" t="str">
        <f ca="1">VLOOKUP(INDIRECT(ADDRESS(ROW(),COLUMN(auto_result)))&amp;INDIRECT(ADDRESS(ROW(auto_result),COLUMN())),analysis_table[],14,FALSE)</f>
        <v/>
      </c>
      <c r="K10" s="35" t="str">
        <f ca="1">VLOOKUP(INDIRECT(ADDRESS(ROW(),COLUMN(auto_result)))&amp;INDIRECT(ADDRESS(ROW(auto_result),COLUMN())),analysis_table[],14,FALSE)</f>
        <v/>
      </c>
      <c r="L10" s="35" t="str">
        <f ca="1">VLOOKUP(INDIRECT(ADDRESS(ROW(),COLUMN(auto_result)))&amp;INDIRECT(ADDRESS(ROW(auto_result),COLUMN())),analysis_table[],14,FALSE)</f>
        <v/>
      </c>
      <c r="M10" s="35" t="str">
        <f ca="1">VLOOKUP(INDIRECT(ADDRESS(ROW(),COLUMN(auto_result)))&amp;INDIRECT(ADDRESS(ROW(auto_result),COLUMN())),analysis_table[],14,FALSE)</f>
        <v/>
      </c>
      <c r="N10" s="35" t="str">
        <f ca="1">VLOOKUP(INDIRECT(ADDRESS(ROW(),COLUMN(auto_result)))&amp;INDIRECT(ADDRESS(ROW(auto_result),COLUMN())),analysis_table[],14,FALSE)</f>
        <v/>
      </c>
      <c r="O10" s="35" t="str">
        <f ca="1">VLOOKUP(INDIRECT(ADDRESS(ROW(),COLUMN(auto_result)))&amp;INDIRECT(ADDRESS(ROW(auto_result),COLUMN())),analysis_table[],14,FALSE)</f>
        <v/>
      </c>
      <c r="P10" s="35" t="str">
        <f ca="1">VLOOKUP(INDIRECT(ADDRESS(ROW(),COLUMN(auto_result)))&amp;INDIRECT(ADDRESS(ROW(auto_result),COLUMN())),analysis_table[],14,FALSE)</f>
        <v/>
      </c>
      <c r="Q10" s="35" t="str">
        <f ca="1">VLOOKUP(INDIRECT(ADDRESS(ROW(),COLUMN(auto_result)))&amp;INDIRECT(ADDRESS(ROW(auto_result),COLUMN())),analysis_table[],14,FALSE)</f>
        <v/>
      </c>
      <c r="R10" s="35" t="str">
        <f ca="1">VLOOKUP(INDIRECT(ADDRESS(ROW(),COLUMN(auto_result)))&amp;INDIRECT(ADDRESS(ROW(auto_result),COLUMN())),analysis_table[],14,FALSE)</f>
        <v/>
      </c>
      <c r="S10" s="35" t="str">
        <f ca="1">VLOOKUP(INDIRECT(ADDRESS(ROW(),COLUMN(auto_result)))&amp;INDIRECT(ADDRESS(ROW(auto_result),COLUMN())),analysis_table[],14,FALSE)</f>
        <v/>
      </c>
      <c r="T10" s="35" t="str">
        <f ca="1">VLOOKUP(INDIRECT(ADDRESS(ROW(),COLUMN(auto_result)))&amp;INDIRECT(ADDRESS(ROW(auto_result),COLUMN())),analysis_table[],14,FALSE)</f>
        <v/>
      </c>
      <c r="U10" s="35" t="str">
        <f ca="1">VLOOKUP(INDIRECT(ADDRESS(ROW(),COLUMN(auto_result)))&amp;INDIRECT(ADDRESS(ROW(auto_result),COLUMN())),analysis_table[],14,FALSE)</f>
        <v/>
      </c>
    </row>
    <row r="11" spans="1:21" ht="12" thickTop="1" thickBot="1" x14ac:dyDescent="0.2">
      <c r="A11" s="32" t="s">
        <v>362</v>
      </c>
      <c r="B11" s="27" t="str">
        <f>elaboration!$B$14</f>
        <v>N/A</v>
      </c>
      <c r="I11" s="34" t="s">
        <v>129</v>
      </c>
      <c r="J11" s="35" t="str">
        <f ca="1">VLOOKUP(INDIRECT(ADDRESS(ROW(),COLUMN(auto_result)))&amp;INDIRECT(ADDRESS(ROW(auto_result),COLUMN())),analysis_table[],14,FALSE)</f>
        <v/>
      </c>
      <c r="K11" s="35" t="str">
        <f ca="1">VLOOKUP(INDIRECT(ADDRESS(ROW(),COLUMN(auto_result)))&amp;INDIRECT(ADDRESS(ROW(auto_result),COLUMN())),analysis_table[],14,FALSE)</f>
        <v/>
      </c>
      <c r="L11" s="35" t="str">
        <f ca="1">VLOOKUP(INDIRECT(ADDRESS(ROW(),COLUMN(auto_result)))&amp;INDIRECT(ADDRESS(ROW(auto_result),COLUMN())),analysis_table[],14,FALSE)</f>
        <v/>
      </c>
      <c r="M11" s="35" t="str">
        <f ca="1">VLOOKUP(INDIRECT(ADDRESS(ROW(),COLUMN(auto_result)))&amp;INDIRECT(ADDRESS(ROW(auto_result),COLUMN())),analysis_table[],14,FALSE)</f>
        <v/>
      </c>
      <c r="N11" s="35" t="str">
        <f ca="1">VLOOKUP(INDIRECT(ADDRESS(ROW(),COLUMN(auto_result)))&amp;INDIRECT(ADDRESS(ROW(auto_result),COLUMN())),analysis_table[],14,FALSE)</f>
        <v/>
      </c>
      <c r="O11" s="35" t="str">
        <f ca="1">VLOOKUP(INDIRECT(ADDRESS(ROW(),COLUMN(auto_result)))&amp;INDIRECT(ADDRESS(ROW(auto_result),COLUMN())),analysis_table[],14,FALSE)</f>
        <v/>
      </c>
      <c r="P11" s="35" t="str">
        <f ca="1">VLOOKUP(INDIRECT(ADDRESS(ROW(),COLUMN(auto_result)))&amp;INDIRECT(ADDRESS(ROW(auto_result),COLUMN())),analysis_table[],14,FALSE)</f>
        <v/>
      </c>
      <c r="Q11" s="35" t="str">
        <f ca="1">VLOOKUP(INDIRECT(ADDRESS(ROW(),COLUMN(auto_result)))&amp;INDIRECT(ADDRESS(ROW(auto_result),COLUMN())),analysis_table[],14,FALSE)</f>
        <v/>
      </c>
      <c r="R11" s="35" t="str">
        <f ca="1">VLOOKUP(INDIRECT(ADDRESS(ROW(),COLUMN(auto_result)))&amp;INDIRECT(ADDRESS(ROW(auto_result),COLUMN())),analysis_table[],14,FALSE)</f>
        <v/>
      </c>
      <c r="S11" s="35" t="str">
        <f ca="1">VLOOKUP(INDIRECT(ADDRESS(ROW(),COLUMN(auto_result)))&amp;INDIRECT(ADDRESS(ROW(auto_result),COLUMN())),analysis_table[],14,FALSE)</f>
        <v/>
      </c>
      <c r="T11" s="35" t="str">
        <f ca="1">VLOOKUP(INDIRECT(ADDRESS(ROW(),COLUMN(auto_result)))&amp;INDIRECT(ADDRESS(ROW(auto_result),COLUMN())),analysis_table[],14,FALSE)</f>
        <v/>
      </c>
      <c r="U11" s="35" t="str">
        <f ca="1">VLOOKUP(INDIRECT(ADDRESS(ROW(),COLUMN(auto_result)))&amp;INDIRECT(ADDRESS(ROW(auto_result),COLUMN())),analysis_table[],14,FALSE)</f>
        <v/>
      </c>
    </row>
    <row r="12" spans="1:21" ht="11.25" thickTop="1" x14ac:dyDescent="0.15">
      <c r="A12" s="32" t="s">
        <v>363</v>
      </c>
      <c r="B12" s="27" t="str">
        <f>elaboration!$B$15</f>
        <v>N/A</v>
      </c>
    </row>
    <row r="13" spans="1:21" x14ac:dyDescent="0.15">
      <c r="A13" s="32" t="s">
        <v>364</v>
      </c>
      <c r="B13" s="27" t="str">
        <f>elaboration!$B$16</f>
        <v>N/A</v>
      </c>
    </row>
    <row r="14" spans="1:21" x14ac:dyDescent="0.15">
      <c r="B14" s="27"/>
    </row>
    <row r="15" spans="1:21" ht="12.75" x14ac:dyDescent="0.15">
      <c r="I15" s="33" t="s">
        <v>325</v>
      </c>
    </row>
    <row r="16" spans="1:21" ht="11.25" thickBot="1" x14ac:dyDescent="0.2">
      <c r="A16" s="32" t="s">
        <v>316</v>
      </c>
      <c r="I16" s="34"/>
      <c r="J16" s="34">
        <v>1</v>
      </c>
      <c r="K16" s="34">
        <v>2</v>
      </c>
      <c r="L16" s="34">
        <v>3</v>
      </c>
      <c r="M16" s="34">
        <v>4</v>
      </c>
      <c r="N16" s="34">
        <v>5</v>
      </c>
      <c r="O16" s="34">
        <v>6</v>
      </c>
      <c r="P16" s="34">
        <v>7</v>
      </c>
      <c r="Q16" s="34">
        <v>8</v>
      </c>
      <c r="R16" s="34">
        <v>9</v>
      </c>
      <c r="S16" s="34">
        <v>10</v>
      </c>
      <c r="T16" s="34">
        <v>11</v>
      </c>
      <c r="U16" s="34">
        <v>12</v>
      </c>
    </row>
    <row r="17" spans="1:21" ht="12" thickTop="1" thickBot="1" x14ac:dyDescent="0.2">
      <c r="I17" s="34" t="s">
        <v>122</v>
      </c>
      <c r="J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7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18" spans="1:21" ht="12" thickTop="1" thickBot="1" x14ac:dyDescent="0.2">
      <c r="I18" s="34" t="s">
        <v>123</v>
      </c>
      <c r="J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8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19" spans="1:21" ht="12" thickTop="1" thickBot="1" x14ac:dyDescent="0.2">
      <c r="I19" s="34" t="s">
        <v>124</v>
      </c>
      <c r="J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19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0" spans="1:21" ht="12" thickTop="1" thickBot="1" x14ac:dyDescent="0.2">
      <c r="A20" s="32" t="s">
        <v>353</v>
      </c>
      <c r="B20" s="11">
        <f ca="1">elaboration!$B$34</f>
        <v>0</v>
      </c>
      <c r="I20" s="34" t="s">
        <v>125</v>
      </c>
      <c r="J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0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1" spans="1:21" ht="12" thickTop="1" thickBot="1" x14ac:dyDescent="0.2">
      <c r="A21" s="32" t="s">
        <v>354</v>
      </c>
      <c r="B21" s="11">
        <f ca="1">elaboration!$B$33</f>
        <v>0</v>
      </c>
      <c r="I21" s="34" t="s">
        <v>126</v>
      </c>
      <c r="J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1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2" spans="1:21" ht="12" thickTop="1" thickBot="1" x14ac:dyDescent="0.2">
      <c r="A22" s="32" t="s">
        <v>355</v>
      </c>
      <c r="B22" s="11">
        <f ca="1">elaboration!$B$32</f>
        <v>0</v>
      </c>
      <c r="I22" s="34" t="s">
        <v>127</v>
      </c>
      <c r="J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2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3" spans="1:21" ht="12" thickTop="1" thickBot="1" x14ac:dyDescent="0.2">
      <c r="I23" s="34" t="s">
        <v>128</v>
      </c>
      <c r="J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3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4" spans="1:21" ht="12" thickTop="1" thickBot="1" x14ac:dyDescent="0.2">
      <c r="I24" s="34" t="s">
        <v>129</v>
      </c>
      <c r="J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K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L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M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N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O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P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Q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R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S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T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  <c r="U24" s="35" t="str">
        <f ca="1">IF(VLOOKUP(INDIRECT(ADDRESS(ROW(),COLUMN(final_result)))&amp;INDIRECT(ADDRESS(ROW(final_result),COLUMN())),analysis_table[],17,FALSE)="",INDIRECT(ADDRESS(ROW(auto_result) + ROW() - ROW(final_result), COLUMN(auto_result) + COLUMN() - COLUMN(final_result))),VLOOKUP(INDIRECT(ADDRESS(ROW(),COLUMN(final_result)))&amp;INDIRECT(ADDRESS(ROW(final_result),COLUMN())),analysis_table[],17,FALSE))</f>
        <v/>
      </c>
    </row>
    <row r="25" spans="1:21" ht="11.25" thickTop="1" x14ac:dyDescent="0.15"/>
  </sheetData>
  <sheetProtection sheet="1" objects="1" scenarios="1"/>
  <conditionalFormatting sqref="J4:U11">
    <cfRule type="containsBlanks" dxfId="61" priority="15" stopIfTrue="1">
      <formula>LEN(TRIM(J4))=0</formula>
    </cfRule>
    <cfRule type="cellIs" dxfId="60" priority="16" operator="equal">
      <formula>"?"</formula>
    </cfRule>
    <cfRule type="cellIs" dxfId="59" priority="17" operator="equal">
      <formula>"+"</formula>
    </cfRule>
    <cfRule type="cellIs" dxfId="58" priority="18" operator="equal">
      <formula>"-"</formula>
    </cfRule>
    <cfRule type="cellIs" dxfId="57" priority="19" operator="equal">
      <formula>"NO"</formula>
    </cfRule>
    <cfRule type="cellIs" dxfId="56" priority="20" operator="equal">
      <formula>"OK"</formula>
    </cfRule>
  </conditionalFormatting>
  <conditionalFormatting sqref="J17:U24">
    <cfRule type="cellIs" dxfId="55" priority="5" operator="equal">
      <formula>"NO"</formula>
    </cfRule>
    <cfRule type="cellIs" dxfId="54" priority="6" operator="equal">
      <formula>"OK"</formula>
    </cfRule>
    <cfRule type="expression" dxfId="53" priority="7" stopIfTrue="1">
      <formula>VLOOKUP(INDIRECT(ADDRESS(ROW(),COLUMN(final_result)))&amp;INDIRECT(ADDRESS(ROW(final_result),COLUMN())),analysis_table_alias,17,FALSE)=""</formula>
    </cfRule>
    <cfRule type="containsBlanks" dxfId="52" priority="8" stopIfTrue="1">
      <formula>LEN(TRIM(J17))=0</formula>
    </cfRule>
    <cfRule type="expression" dxfId="51" priority="9">
      <formula>TRUE</formula>
    </cfRule>
  </conditionalFormatting>
  <conditionalFormatting sqref="B11">
    <cfRule type="cellIs" dxfId="50" priority="3" operator="lessThan">
      <formula>VLOOKUP("Cy5", fluorophore_thresholds, 2,FALSE)</formula>
    </cfRule>
  </conditionalFormatting>
  <conditionalFormatting sqref="B12">
    <cfRule type="cellIs" dxfId="49" priority="2" operator="lessThan">
      <formula>VLOOKUP("FAM", fluorophore_thresholds, 2,FALSE)</formula>
    </cfRule>
  </conditionalFormatting>
  <conditionalFormatting sqref="B13">
    <cfRule type="cellIs" dxfId="48" priority="1" operator="lessThan">
      <formula>VLOOKUP("HEX", fluorophore_thresholds, 2,FALSE)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9" r:id="rId4" name="TestResultValue">
          <controlPr autoLine="0" linkedCell="analysis!$O$2" r:id="rId5">
            <anchor moveWithCells="1">
              <from>
                <xdr:col>0</xdr:col>
                <xdr:colOff>57150</xdr:colOff>
                <xdr:row>16</xdr:row>
                <xdr:rowOff>19050</xdr:rowOff>
              </from>
              <to>
                <xdr:col>1</xdr:col>
                <xdr:colOff>457200</xdr:colOff>
                <xdr:row>17</xdr:row>
                <xdr:rowOff>76200</xdr:rowOff>
              </to>
            </anchor>
          </controlPr>
        </control>
      </mc:Choice>
      <mc:Fallback>
        <control shapeId="22539" r:id="rId4" name="TestResultValue"/>
      </mc:Fallback>
    </mc:AlternateContent>
    <mc:AlternateContent xmlns:mc="http://schemas.openxmlformats.org/markup-compatibility/2006">
      <mc:Choice Requires="x14">
        <control shapeId="22534" r:id="rId6" name="ScrollSamples">
          <controlPr autoLine="0" linkedCell="elaboration!$B$2" r:id="rId7">
            <anchor moveWithCells="1">
              <from>
                <xdr:col>3</xdr:col>
                <xdr:colOff>38100</xdr:colOff>
                <xdr:row>1</xdr:row>
                <xdr:rowOff>152400</xdr:rowOff>
              </from>
              <to>
                <xdr:col>7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22534" r:id="rId6" name="ScrollSamples"/>
      </mc:Fallback>
    </mc:AlternateContent>
    <mc:AlternateContent xmlns:mc="http://schemas.openxmlformats.org/markup-compatibility/2006">
      <mc:Choice Requires="x14">
        <control shapeId="22532" r:id="rId8" name="Check Box 4">
          <controlPr defaultSize="0" autoFill="0" autoLine="0" autoPict="0">
            <anchor>
              <from>
                <xdr:col>2</xdr:col>
                <xdr:colOff>342900</xdr:colOff>
                <xdr:row>3</xdr:row>
                <xdr:rowOff>123825</xdr:rowOff>
              </from>
              <to>
                <xdr:col>2</xdr:col>
                <xdr:colOff>771525</xdr:colOff>
                <xdr:row>5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A6FA0C3-C99A-40EA-8AD3-FB6B327C97B6}">
            <xm:f>INDIRECT(ADDRESS(ROW(),COLUMN(auto_result)))&amp;INDIRECT(ADDRESS(ROW(auto_result),COLUMN())) &lt;&gt; elaboration!$B$6</xm:f>
            <x14:dxf>
              <border>
                <vertical/>
                <horizontal/>
              </border>
            </x14:dxf>
          </x14:cfRule>
          <xm:sqref>J4:U11</xm:sqref>
        </x14:conditionalFormatting>
        <x14:conditionalFormatting xmlns:xm="http://schemas.microsoft.com/office/excel/2006/main">
          <x14:cfRule type="expression" priority="13" id="{C37FD401-3E59-42C1-875A-D7348A57569E}">
            <xm:f>INDIRECT("RC", 0) = elaboration!$B$5</xm:f>
            <x14:dxf>
              <fill>
                <patternFill>
                  <bgColor rgb="FFFFFF99"/>
                </patternFill>
              </fill>
            </x14:dxf>
          </x14:cfRule>
          <xm:sqref>J3:U3</xm:sqref>
        </x14:conditionalFormatting>
        <x14:conditionalFormatting xmlns:xm="http://schemas.microsoft.com/office/excel/2006/main">
          <x14:cfRule type="expression" priority="12" id="{94BCE741-AE40-4B66-91D7-E45ACFEDF7D4}">
            <xm:f>INDIRECT("RC", 0) = elaboration!$B$4</xm:f>
            <x14:dxf>
              <fill>
                <patternFill>
                  <bgColor rgb="FFFFFF99"/>
                </patternFill>
              </fill>
            </x14:dxf>
          </x14:cfRule>
          <xm:sqref>I4:I11</xm:sqref>
        </x14:conditionalFormatting>
        <x14:conditionalFormatting xmlns:xm="http://schemas.microsoft.com/office/excel/2006/main">
          <x14:cfRule type="expression" priority="11" id="{2FDE27F5-1C84-4DFA-AA66-242D5745C3AE}">
            <xm:f>INDIRECT("RC", 0) = elaboration!$B$5</xm:f>
            <x14:dxf>
              <fill>
                <patternFill>
                  <bgColor rgb="FFFFFF99"/>
                </patternFill>
              </fill>
            </x14:dxf>
          </x14:cfRule>
          <xm:sqref>J16:U16</xm:sqref>
        </x14:conditionalFormatting>
        <x14:conditionalFormatting xmlns:xm="http://schemas.microsoft.com/office/excel/2006/main">
          <x14:cfRule type="expression" priority="10" id="{7620215D-08A9-4374-9F7F-0FF4FED56835}">
            <xm:f>INDIRECT("RC", 0) = elaboration!$B$4</xm:f>
            <x14:dxf>
              <fill>
                <patternFill>
                  <bgColor rgb="FFFFFF99"/>
                </patternFill>
              </fill>
            </x14:dxf>
          </x14:cfRule>
          <xm:sqref>I17:I24</xm:sqref>
        </x14:conditionalFormatting>
        <x14:conditionalFormatting xmlns:xm="http://schemas.microsoft.com/office/excel/2006/main">
          <x14:cfRule type="expression" priority="4" id="{32FD7DF7-C12E-494C-AA5F-4655CB1E336D}">
            <xm:f>INDIRECT(ADDRESS(ROW(),COLUMN(final_result)))&amp;INDIRECT(ADDRESS(ROW(final_result),COLUMN())) &lt;&gt; elaboration!$B$6</xm:f>
            <x14:dxf>
              <border>
                <vertical/>
                <horizontal/>
              </border>
            </x14:dxf>
          </x14:cfRule>
          <xm:sqref>J17:U24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X39"/>
  <sheetViews>
    <sheetView zoomScale="130" zoomScaleNormal="130" workbookViewId="0">
      <selection sqref="A1:XFD1048576"/>
    </sheetView>
  </sheetViews>
  <sheetFormatPr defaultRowHeight="10.5" x14ac:dyDescent="0.15"/>
  <cols>
    <col min="1" max="1" width="28.33203125" style="11" customWidth="1"/>
    <col min="2" max="2" width="27.6640625" style="11" bestFit="1" customWidth="1"/>
    <col min="3" max="7" width="9.33203125" style="11"/>
    <col min="8" max="8" width="23.83203125" style="11" bestFit="1" customWidth="1"/>
    <col min="9" max="9" width="17" style="11" bestFit="1" customWidth="1"/>
    <col min="10" max="21" width="9.33203125" style="11"/>
    <col min="22" max="22" width="18.6640625" style="11" bestFit="1" customWidth="1"/>
    <col min="23" max="23" width="30" style="11" bestFit="1" customWidth="1"/>
    <col min="24" max="16384" width="9.33203125" style="11"/>
  </cols>
  <sheetData>
    <row r="1" spans="1:24" ht="15.75" x14ac:dyDescent="0.15">
      <c r="B1" s="36" t="s">
        <v>272</v>
      </c>
    </row>
    <row r="2" spans="1:24" x14ac:dyDescent="0.15">
      <c r="A2" s="27" t="s">
        <v>266</v>
      </c>
      <c r="B2">
        <v>0</v>
      </c>
    </row>
    <row r="3" spans="1:24" x14ac:dyDescent="0.15">
      <c r="A3" s="27" t="s">
        <v>268</v>
      </c>
      <c r="B3" s="27">
        <f>MOD($B$2,8)+1</f>
        <v>1</v>
      </c>
    </row>
    <row r="4" spans="1:24" x14ac:dyDescent="0.15">
      <c r="A4" s="27" t="s">
        <v>269</v>
      </c>
      <c r="B4" s="27" t="str">
        <f>MID("ABCDEFGH", B3, 1)</f>
        <v>A</v>
      </c>
    </row>
    <row r="5" spans="1:24" x14ac:dyDescent="0.15">
      <c r="A5" s="27" t="s">
        <v>270</v>
      </c>
      <c r="B5" s="27">
        <f>QUOTIENT($B$2,8) + 1</f>
        <v>1</v>
      </c>
    </row>
    <row r="6" spans="1:24" x14ac:dyDescent="0.15">
      <c r="A6" s="27" t="s">
        <v>0</v>
      </c>
      <c r="B6" s="27" t="str">
        <f>$B$4&amp;$B$5</f>
        <v>A1</v>
      </c>
      <c r="C6" s="27"/>
    </row>
    <row r="7" spans="1:24" x14ac:dyDescent="0.15">
      <c r="A7" s="27" t="s">
        <v>271</v>
      </c>
      <c r="B7" s="27" t="str">
        <f>VLOOKUP($B$6,analysis_table[],2,FALSE)</f>
        <v>A01</v>
      </c>
      <c r="X7" s="27"/>
    </row>
    <row r="10" spans="1:24" ht="15.75" x14ac:dyDescent="0.15">
      <c r="B10" s="36" t="s">
        <v>273</v>
      </c>
    </row>
    <row r="11" spans="1:24" x14ac:dyDescent="0.15">
      <c r="A11" s="27" t="s">
        <v>116</v>
      </c>
      <c r="B11" s="27" t="str">
        <f ca="1">VLOOKUP($B$6,analysis_table[],4,FALSE)</f>
        <v/>
      </c>
    </row>
    <row r="13" spans="1:24" ht="15.75" x14ac:dyDescent="0.15">
      <c r="B13" s="36" t="s">
        <v>133</v>
      </c>
      <c r="X13" s="27"/>
    </row>
    <row r="14" spans="1:24" x14ac:dyDescent="0.15">
      <c r="A14" s="27" t="s">
        <v>85</v>
      </c>
      <c r="B14" s="27" t="str">
        <f>VLOOKUP($B$6,analysis_table[],6,FALSE)</f>
        <v>N/A</v>
      </c>
      <c r="E14" s="27"/>
    </row>
    <row r="15" spans="1:24" x14ac:dyDescent="0.15">
      <c r="A15" s="27" t="s">
        <v>3</v>
      </c>
      <c r="B15" s="27" t="str">
        <f>VLOOKUP($B$6,analysis_table[],7,FALSE)</f>
        <v>N/A</v>
      </c>
    </row>
    <row r="16" spans="1:24" x14ac:dyDescent="0.15">
      <c r="A16" s="27" t="s">
        <v>4</v>
      </c>
      <c r="B16" s="27" t="str">
        <f>VLOOKUP($B$6,analysis_table[],8,FALSE)</f>
        <v>N/A</v>
      </c>
    </row>
    <row r="19" spans="1:3" ht="15.75" x14ac:dyDescent="0.15">
      <c r="B19" s="36" t="s">
        <v>274</v>
      </c>
    </row>
    <row r="20" spans="1:3" x14ac:dyDescent="0.15">
      <c r="A20" s="27" t="s">
        <v>276</v>
      </c>
      <c r="B20" s="27" t="b">
        <f>VLOOKUP($B$6,analysis_table[],10,FALSE)</f>
        <v>1</v>
      </c>
      <c r="C20" s="27"/>
    </row>
    <row r="21" spans="1:3" x14ac:dyDescent="0.15">
      <c r="A21" s="27" t="s">
        <v>281</v>
      </c>
      <c r="B21" s="27" t="str">
        <f>VLOOKUP($B$6,analysis_table[],11,FALSE)</f>
        <v>NTC</v>
      </c>
    </row>
    <row r="23" spans="1:3" ht="15.75" x14ac:dyDescent="0.15">
      <c r="B23" s="36" t="s">
        <v>288</v>
      </c>
    </row>
    <row r="24" spans="1:3" x14ac:dyDescent="0.15">
      <c r="A24" s="27" t="s">
        <v>275</v>
      </c>
      <c r="B24" s="27" t="str">
        <f>VLOOKUP($B$6,analysis_table[],12,FALSE)</f>
        <v>nnn</v>
      </c>
    </row>
    <row r="25" spans="1:3" x14ac:dyDescent="0.15">
      <c r="A25" s="27" t="s">
        <v>278</v>
      </c>
      <c r="B25" s="27" t="str">
        <f ca="1">VLOOKUP($B$6,analysis_table[],13,FALSE)</f>
        <v/>
      </c>
    </row>
    <row r="26" spans="1:3" x14ac:dyDescent="0.15">
      <c r="A26" s="27" t="s">
        <v>314</v>
      </c>
      <c r="B26" s="27" t="str">
        <f>IF(VLOOKUP($B$6,analysis_table[],15,FALSE)="","",VLOOKUP($B$6,analysis_table[],15,FALSE))</f>
        <v/>
      </c>
    </row>
    <row r="27" spans="1:3" x14ac:dyDescent="0.15">
      <c r="A27" s="27" t="s">
        <v>373</v>
      </c>
      <c r="B27" s="27" t="str">
        <f ca="1">VLOOKUP($B$6,analysis_table[],20,FALSE)</f>
        <v/>
      </c>
    </row>
    <row r="29" spans="1:3" ht="15.75" x14ac:dyDescent="0.15">
      <c r="B29" s="36" t="s">
        <v>343</v>
      </c>
    </row>
    <row r="30" spans="1:3" x14ac:dyDescent="0.15">
      <c r="A30" s="27" t="s">
        <v>347</v>
      </c>
      <c r="B30" s="11">
        <f>SUMPRODUCT(--analysis_table[is_control])</f>
        <v>5</v>
      </c>
    </row>
    <row r="31" spans="1:3" x14ac:dyDescent="0.15">
      <c r="A31" s="27" t="s">
        <v>351</v>
      </c>
      <c r="B31" s="11">
        <f ca="1">SUMPRODUCT(--analysis_table[is_control], --(analysis_table[final_control_result]="OK"))</f>
        <v>0</v>
      </c>
    </row>
    <row r="32" spans="1:3" x14ac:dyDescent="0.15">
      <c r="A32" s="27" t="s">
        <v>346</v>
      </c>
      <c r="B32" s="11">
        <f ca="1">SUMPRODUCT(--NOT(analysis_table[is_control]),--NOT(analysis_table[is_well_empy]))</f>
        <v>0</v>
      </c>
    </row>
    <row r="33" spans="1:5" x14ac:dyDescent="0.15">
      <c r="A33" s="27" t="s">
        <v>344</v>
      </c>
      <c r="B33" s="11">
        <f ca="1">SUMPRODUCT(--NOT(analysis_table[is_control]),--NOT(analysis_table[is_well_empy]), --(analysis_table[user_result]=""))</f>
        <v>0</v>
      </c>
    </row>
    <row r="34" spans="1:5" x14ac:dyDescent="0.15">
      <c r="A34" s="27" t="s">
        <v>345</v>
      </c>
      <c r="B34" s="11">
        <f ca="1">SUMPRODUCT(--NOT(analysis_table[is_control]),--NOT(analysis_table[is_well_empy]), --(analysis_table[user_result]&lt;&gt;""))</f>
        <v>0</v>
      </c>
    </row>
    <row r="35" spans="1:5" x14ac:dyDescent="0.15">
      <c r="A35" s="27" t="s">
        <v>382</v>
      </c>
      <c r="B35" s="11">
        <f ca="1">COUNTIF(analysis_table[final_result], "ERRORE")</f>
        <v>0</v>
      </c>
    </row>
    <row r="39" spans="1:5" x14ac:dyDescent="0.15">
      <c r="E39" s="27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1:O47"/>
  <sheetViews>
    <sheetView workbookViewId="0">
      <selection activeCell="M3" sqref="M3"/>
    </sheetView>
  </sheetViews>
  <sheetFormatPr defaultRowHeight="10.5" x14ac:dyDescent="0.15"/>
  <cols>
    <col min="1" max="1" width="23" style="11" bestFit="1" customWidth="1"/>
    <col min="2" max="16384" width="9.33203125" style="11"/>
  </cols>
  <sheetData>
    <row r="1" spans="1:15" x14ac:dyDescent="0.15">
      <c r="B1" s="27" t="s">
        <v>267</v>
      </c>
      <c r="G1" s="27" t="s">
        <v>261</v>
      </c>
      <c r="J1" s="27" t="s">
        <v>262</v>
      </c>
      <c r="M1" s="27" t="s">
        <v>374</v>
      </c>
    </row>
    <row r="2" spans="1:15" x14ac:dyDescent="0.15">
      <c r="A2" s="27" t="s">
        <v>260</v>
      </c>
      <c r="B2" t="b">
        <v>1</v>
      </c>
      <c r="F2" s="27" t="s">
        <v>189</v>
      </c>
      <c r="G2" s="27" t="s">
        <v>85</v>
      </c>
      <c r="H2" s="27" t="s">
        <v>3</v>
      </c>
      <c r="I2" s="27" t="s">
        <v>4</v>
      </c>
      <c r="J2" s="27" t="str">
        <f t="shared" ref="J2:O2" si="0">G2</f>
        <v>Cy5</v>
      </c>
      <c r="K2" s="27" t="str">
        <f t="shared" si="0"/>
        <v>FAM</v>
      </c>
      <c r="L2" s="27" t="str">
        <f t="shared" si="0"/>
        <v>HEX</v>
      </c>
      <c r="M2" s="27" t="str">
        <f t="shared" si="0"/>
        <v>Cy5</v>
      </c>
      <c r="N2" s="27" t="str">
        <f t="shared" si="0"/>
        <v>FAM</v>
      </c>
      <c r="O2" s="27" t="str">
        <f t="shared" si="0"/>
        <v>HEX</v>
      </c>
    </row>
    <row r="3" spans="1:15" x14ac:dyDescent="0.15">
      <c r="A3" s="27" t="s">
        <v>293</v>
      </c>
      <c r="B3" s="11">
        <v>50</v>
      </c>
      <c r="F3" s="11">
        <v>1</v>
      </c>
      <c r="G3" s="11">
        <f>HLOOKUP(elaboration!$B$6,'Curve Cy5'!$C$1:$CT$46,$F3+1,FALSE)</f>
        <v>0</v>
      </c>
      <c r="H3" s="11">
        <f>HLOOKUP(elaboration!$B$6,'Curve FAM'!$C$1:$CT$46,$F3+1,FALSE)</f>
        <v>0</v>
      </c>
      <c r="I3" s="11">
        <f>HLOOKUP(elaboration!$B$6,'Curve HEX'!$C$1:$CT$46,$F3+1,FALSE)</f>
        <v>0</v>
      </c>
      <c r="J3" s="11" t="e">
        <f t="shared" ref="J3:J42" si="1">IF($B$2,LOG10(G3),G3)</f>
        <v>#NUM!</v>
      </c>
      <c r="K3" s="11" t="e">
        <f t="shared" ref="K3:K42" si="2">IF($B$2,LOG10(H3),H3)</f>
        <v>#NUM!</v>
      </c>
      <c r="L3" s="11" t="e">
        <f t="shared" ref="L3:L42" si="3">IF($B$2,LOG10(I3),I3)</f>
        <v>#NUM!</v>
      </c>
      <c r="M3" s="11" t="e">
        <f>IF(NOT(ISERROR(J3)), IF($F3&gt;elaboration!$B$14, J3, NA()), NA())</f>
        <v>#N/A</v>
      </c>
      <c r="N3" s="11" t="e">
        <f>IF(NOT(ISERROR(K3)), IF($F3&gt;elaboration!$B$15, K3, NA()), NA())</f>
        <v>#N/A</v>
      </c>
      <c r="O3" s="11" t="e">
        <f>IF(NOT(ISERROR(L3)), IF($F3&gt;elaboration!$B$16, L3, NA()), NA())</f>
        <v>#N/A</v>
      </c>
    </row>
    <row r="4" spans="1:15" x14ac:dyDescent="0.15">
      <c r="A4" s="27" t="s">
        <v>292</v>
      </c>
      <c r="B4" s="11">
        <v>150</v>
      </c>
      <c r="F4" s="11">
        <v>2</v>
      </c>
      <c r="G4" s="11">
        <f>HLOOKUP(elaboration!$B$6,'Curve Cy5'!$C$1:$CT$46,$F4+1,FALSE)</f>
        <v>0</v>
      </c>
      <c r="H4" s="11">
        <f>HLOOKUP(elaboration!$B$6,'Curve FAM'!$C$1:$CT$46,$F4+1,FALSE)</f>
        <v>0</v>
      </c>
      <c r="I4" s="11">
        <f>HLOOKUP(elaboration!$B$6,'Curve HEX'!$C$1:$CT$46,$F4+1,FALSE)</f>
        <v>0</v>
      </c>
      <c r="J4" s="11" t="e">
        <f t="shared" si="1"/>
        <v>#NUM!</v>
      </c>
      <c r="K4" s="11" t="e">
        <f t="shared" si="2"/>
        <v>#NUM!</v>
      </c>
      <c r="L4" s="11" t="e">
        <f t="shared" si="3"/>
        <v>#NUM!</v>
      </c>
      <c r="M4" s="11" t="e">
        <f>IF(NOT(ISERROR(J4)), IF($F4&gt;elaboration!$B$14, J4, NA()), NA())</f>
        <v>#N/A</v>
      </c>
      <c r="N4" s="11" t="e">
        <f>IF(NOT(ISERROR(K4)), IF($F4&gt;elaboration!$B$15, K4, NA()), NA())</f>
        <v>#N/A</v>
      </c>
      <c r="O4" s="11" t="e">
        <f>IF(NOT(ISERROR(L4)), IF($F4&gt;elaboration!$B$16, L4, NA()), NA())</f>
        <v>#N/A</v>
      </c>
    </row>
    <row r="5" spans="1:15" x14ac:dyDescent="0.15">
      <c r="A5" s="27" t="s">
        <v>294</v>
      </c>
      <c r="B5" s="11">
        <f>IF($B$2,LOG10($B$3),$B$3)</f>
        <v>1.6989700043360187</v>
      </c>
      <c r="F5" s="11">
        <v>3</v>
      </c>
      <c r="G5" s="11">
        <f>HLOOKUP(elaboration!$B$6,'Curve Cy5'!$C$1:$CT$46,$F5+1,FALSE)</f>
        <v>0</v>
      </c>
      <c r="H5" s="11">
        <f>HLOOKUP(elaboration!$B$6,'Curve FAM'!$C$1:$CT$46,$F5+1,FALSE)</f>
        <v>0</v>
      </c>
      <c r="I5" s="11">
        <f>HLOOKUP(elaboration!$B$6,'Curve HEX'!$C$1:$CT$46,$F5+1,FALSE)</f>
        <v>0</v>
      </c>
      <c r="J5" s="11" t="e">
        <f t="shared" si="1"/>
        <v>#NUM!</v>
      </c>
      <c r="K5" s="11" t="e">
        <f t="shared" si="2"/>
        <v>#NUM!</v>
      </c>
      <c r="L5" s="11" t="e">
        <f t="shared" si="3"/>
        <v>#NUM!</v>
      </c>
      <c r="M5" s="11" t="e">
        <f>IF(NOT(ISERROR(J5)), IF($F5&gt;elaboration!$B$14, J5, NA()), NA())</f>
        <v>#N/A</v>
      </c>
      <c r="N5" s="11" t="e">
        <f>IF(NOT(ISERROR(K5)), IF($F5&gt;elaboration!$B$15, K5, NA()), NA())</f>
        <v>#N/A</v>
      </c>
      <c r="O5" s="11" t="e">
        <f>IF(NOT(ISERROR(L5)), IF($F5&gt;elaboration!$B$16, L5, NA()), NA())</f>
        <v>#N/A</v>
      </c>
    </row>
    <row r="6" spans="1:15" x14ac:dyDescent="0.15">
      <c r="A6" s="27" t="s">
        <v>295</v>
      </c>
      <c r="B6" s="11">
        <f>IF($B$2,LOG10($B$4),$B$4)</f>
        <v>2.1760912590556813</v>
      </c>
      <c r="F6" s="11">
        <v>4</v>
      </c>
      <c r="G6" s="11">
        <f>HLOOKUP(elaboration!$B$6,'Curve Cy5'!$C$1:$CT$46,$F6+1,FALSE)</f>
        <v>0</v>
      </c>
      <c r="H6" s="11">
        <f>HLOOKUP(elaboration!$B$6,'Curve FAM'!$C$1:$CT$46,$F6+1,FALSE)</f>
        <v>0</v>
      </c>
      <c r="I6" s="11">
        <f>HLOOKUP(elaboration!$B$6,'Curve HEX'!$C$1:$CT$46,$F6+1,FALSE)</f>
        <v>0</v>
      </c>
      <c r="J6" s="11" t="e">
        <f t="shared" si="1"/>
        <v>#NUM!</v>
      </c>
      <c r="K6" s="11" t="e">
        <f t="shared" si="2"/>
        <v>#NUM!</v>
      </c>
      <c r="L6" s="11" t="e">
        <f t="shared" si="3"/>
        <v>#NUM!</v>
      </c>
      <c r="M6" s="11" t="e">
        <f>IF(NOT(ISERROR(J6)), IF($F6&gt;elaboration!$B$14, J6, NA()), NA())</f>
        <v>#N/A</v>
      </c>
      <c r="N6" s="11" t="e">
        <f>IF(NOT(ISERROR(K6)), IF($F6&gt;elaboration!$B$15, K6, NA()), NA())</f>
        <v>#N/A</v>
      </c>
      <c r="O6" s="11" t="e">
        <f>IF(NOT(ISERROR(L6)), IF($F6&gt;elaboration!$B$16, L6, NA()), NA())</f>
        <v>#N/A</v>
      </c>
    </row>
    <row r="7" spans="1:15" x14ac:dyDescent="0.15">
      <c r="F7" s="11">
        <v>5</v>
      </c>
      <c r="G7" s="11">
        <f>HLOOKUP(elaboration!$B$6,'Curve Cy5'!$C$1:$CT$46,$F7+1,FALSE)</f>
        <v>0</v>
      </c>
      <c r="H7" s="11">
        <f>HLOOKUP(elaboration!$B$6,'Curve FAM'!$C$1:$CT$46,$F7+1,FALSE)</f>
        <v>0</v>
      </c>
      <c r="I7" s="11">
        <f>HLOOKUP(elaboration!$B$6,'Curve HEX'!$C$1:$CT$46,$F7+1,FALSE)</f>
        <v>0</v>
      </c>
      <c r="J7" s="11" t="e">
        <f t="shared" si="1"/>
        <v>#NUM!</v>
      </c>
      <c r="K7" s="11" t="e">
        <f t="shared" si="2"/>
        <v>#NUM!</v>
      </c>
      <c r="L7" s="11" t="e">
        <f t="shared" si="3"/>
        <v>#NUM!</v>
      </c>
      <c r="M7" s="11" t="e">
        <f>IF(NOT(ISERROR(J7)), IF($F7&gt;elaboration!$B$14, J7, NA()), NA())</f>
        <v>#N/A</v>
      </c>
      <c r="N7" s="11" t="e">
        <f>IF(NOT(ISERROR(K7)), IF($F7&gt;elaboration!$B$15, K7, NA()), NA())</f>
        <v>#N/A</v>
      </c>
      <c r="O7" s="11" t="e">
        <f>IF(NOT(ISERROR(L7)), IF($F7&gt;elaboration!$B$16, L7, NA()), NA())</f>
        <v>#N/A</v>
      </c>
    </row>
    <row r="8" spans="1:15" x14ac:dyDescent="0.15">
      <c r="F8" s="11">
        <v>6</v>
      </c>
      <c r="G8" s="11">
        <f>HLOOKUP(elaboration!$B$6,'Curve Cy5'!$C$1:$CT$46,$F8+1,FALSE)</f>
        <v>0</v>
      </c>
      <c r="H8" s="11">
        <f>HLOOKUP(elaboration!$B$6,'Curve FAM'!$C$1:$CT$46,$F8+1,FALSE)</f>
        <v>0</v>
      </c>
      <c r="I8" s="11">
        <f>HLOOKUP(elaboration!$B$6,'Curve HEX'!$C$1:$CT$46,$F8+1,FALSE)</f>
        <v>0</v>
      </c>
      <c r="J8" s="11" t="e">
        <f t="shared" si="1"/>
        <v>#NUM!</v>
      </c>
      <c r="K8" s="11" t="e">
        <f t="shared" si="2"/>
        <v>#NUM!</v>
      </c>
      <c r="L8" s="11" t="e">
        <f t="shared" si="3"/>
        <v>#NUM!</v>
      </c>
      <c r="M8" s="11" t="e">
        <f>IF(NOT(ISERROR(J8)), IF($F8&gt;elaboration!$B$14, J8, NA()), NA())</f>
        <v>#N/A</v>
      </c>
      <c r="N8" s="11" t="e">
        <f>IF(NOT(ISERROR(K8)), IF($F8&gt;elaboration!$B$15, K8, NA()), NA())</f>
        <v>#N/A</v>
      </c>
      <c r="O8" s="11" t="e">
        <f>IF(NOT(ISERROR(L8)), IF($F8&gt;elaboration!$B$16, L8, NA()), NA())</f>
        <v>#N/A</v>
      </c>
    </row>
    <row r="9" spans="1:15" x14ac:dyDescent="0.15">
      <c r="F9" s="11">
        <v>7</v>
      </c>
      <c r="G9" s="11">
        <f>HLOOKUP(elaboration!$B$6,'Curve Cy5'!$C$1:$CT$46,$F9+1,FALSE)</f>
        <v>0</v>
      </c>
      <c r="H9" s="11">
        <f>HLOOKUP(elaboration!$B$6,'Curve FAM'!$C$1:$CT$46,$F9+1,FALSE)</f>
        <v>0</v>
      </c>
      <c r="I9" s="11">
        <f>HLOOKUP(elaboration!$B$6,'Curve HEX'!$C$1:$CT$46,$F9+1,FALSE)</f>
        <v>0</v>
      </c>
      <c r="J9" s="11" t="e">
        <f t="shared" si="1"/>
        <v>#NUM!</v>
      </c>
      <c r="K9" s="11" t="e">
        <f t="shared" si="2"/>
        <v>#NUM!</v>
      </c>
      <c r="L9" s="11" t="e">
        <f t="shared" si="3"/>
        <v>#NUM!</v>
      </c>
      <c r="M9" s="11" t="e">
        <f>IF(NOT(ISERROR(J9)), IF($F9&gt;elaboration!$B$14, J9, NA()), NA())</f>
        <v>#N/A</v>
      </c>
      <c r="N9" s="11" t="e">
        <f>IF(NOT(ISERROR(K9)), IF($F9&gt;elaboration!$B$15, K9, NA()), NA())</f>
        <v>#N/A</v>
      </c>
      <c r="O9" s="11" t="e">
        <f>IF(NOT(ISERROR(L9)), IF($F9&gt;elaboration!$B$16, L9, NA()), NA())</f>
        <v>#N/A</v>
      </c>
    </row>
    <row r="10" spans="1:15" x14ac:dyDescent="0.15">
      <c r="F10" s="11">
        <v>8</v>
      </c>
      <c r="G10" s="11">
        <f>HLOOKUP(elaboration!$B$6,'Curve Cy5'!$C$1:$CT$46,$F10+1,FALSE)</f>
        <v>0</v>
      </c>
      <c r="H10" s="11">
        <f>HLOOKUP(elaboration!$B$6,'Curve FAM'!$C$1:$CT$46,$F10+1,FALSE)</f>
        <v>0</v>
      </c>
      <c r="I10" s="11">
        <f>HLOOKUP(elaboration!$B$6,'Curve HEX'!$C$1:$CT$46,$F10+1,FALSE)</f>
        <v>0</v>
      </c>
      <c r="J10" s="11" t="e">
        <f t="shared" si="1"/>
        <v>#NUM!</v>
      </c>
      <c r="K10" s="11" t="e">
        <f t="shared" si="2"/>
        <v>#NUM!</v>
      </c>
      <c r="L10" s="11" t="e">
        <f t="shared" si="3"/>
        <v>#NUM!</v>
      </c>
      <c r="M10" s="11" t="e">
        <f>IF(NOT(ISERROR(J10)), IF($F10&gt;elaboration!$B$14, J10, NA()), NA())</f>
        <v>#N/A</v>
      </c>
      <c r="N10" s="11" t="e">
        <f>IF(NOT(ISERROR(K10)), IF($F10&gt;elaboration!$B$15, K10, NA()), NA())</f>
        <v>#N/A</v>
      </c>
      <c r="O10" s="11" t="e">
        <f>IF(NOT(ISERROR(L10)), IF($F10&gt;elaboration!$B$16, L10, NA()), NA())</f>
        <v>#N/A</v>
      </c>
    </row>
    <row r="11" spans="1:15" x14ac:dyDescent="0.15">
      <c r="F11" s="11">
        <v>9</v>
      </c>
      <c r="G11" s="11">
        <f>HLOOKUP(elaboration!$B$6,'Curve Cy5'!$C$1:$CT$46,$F11+1,FALSE)</f>
        <v>0</v>
      </c>
      <c r="H11" s="11">
        <f>HLOOKUP(elaboration!$B$6,'Curve FAM'!$C$1:$CT$46,$F11+1,FALSE)</f>
        <v>0</v>
      </c>
      <c r="I11" s="11">
        <f>HLOOKUP(elaboration!$B$6,'Curve HEX'!$C$1:$CT$46,$F11+1,FALSE)</f>
        <v>0</v>
      </c>
      <c r="J11" s="11" t="e">
        <f t="shared" si="1"/>
        <v>#NUM!</v>
      </c>
      <c r="K11" s="11" t="e">
        <f t="shared" si="2"/>
        <v>#NUM!</v>
      </c>
      <c r="L11" s="11" t="e">
        <f t="shared" si="3"/>
        <v>#NUM!</v>
      </c>
      <c r="M11" s="11" t="e">
        <f>IF(NOT(ISERROR(J11)), IF($F11&gt;elaboration!$B$14, J11, NA()), NA())</f>
        <v>#N/A</v>
      </c>
      <c r="N11" s="11" t="e">
        <f>IF(NOT(ISERROR(K11)), IF($F11&gt;elaboration!$B$15, K11, NA()), NA())</f>
        <v>#N/A</v>
      </c>
      <c r="O11" s="11" t="e">
        <f>IF(NOT(ISERROR(L11)), IF($F11&gt;elaboration!$B$16, L11, NA()), NA())</f>
        <v>#N/A</v>
      </c>
    </row>
    <row r="12" spans="1:15" x14ac:dyDescent="0.15">
      <c r="F12" s="11">
        <v>10</v>
      </c>
      <c r="G12" s="11">
        <f>HLOOKUP(elaboration!$B$6,'Curve Cy5'!$C$1:$CT$46,$F12+1,FALSE)</f>
        <v>0</v>
      </c>
      <c r="H12" s="11">
        <f>HLOOKUP(elaboration!$B$6,'Curve FAM'!$C$1:$CT$46,$F12+1,FALSE)</f>
        <v>0</v>
      </c>
      <c r="I12" s="11">
        <f>HLOOKUP(elaboration!$B$6,'Curve HEX'!$C$1:$CT$46,$F12+1,FALSE)</f>
        <v>0</v>
      </c>
      <c r="J12" s="11" t="e">
        <f t="shared" si="1"/>
        <v>#NUM!</v>
      </c>
      <c r="K12" s="11" t="e">
        <f t="shared" si="2"/>
        <v>#NUM!</v>
      </c>
      <c r="L12" s="11" t="e">
        <f t="shared" si="3"/>
        <v>#NUM!</v>
      </c>
      <c r="M12" s="11" t="e">
        <f>IF(NOT(ISERROR(J12)), IF($F12&gt;elaboration!$B$14, J12, NA()), NA())</f>
        <v>#N/A</v>
      </c>
      <c r="N12" s="11" t="e">
        <f>IF(NOT(ISERROR(K12)), IF($F12&gt;elaboration!$B$15, K12, NA()), NA())</f>
        <v>#N/A</v>
      </c>
      <c r="O12" s="11" t="e">
        <f>IF(NOT(ISERROR(L12)), IF($F12&gt;elaboration!$B$16, L12, NA()), NA())</f>
        <v>#N/A</v>
      </c>
    </row>
    <row r="13" spans="1:15" x14ac:dyDescent="0.15">
      <c r="F13" s="11">
        <v>11</v>
      </c>
      <c r="G13" s="11">
        <f>HLOOKUP(elaboration!$B$6,'Curve Cy5'!$C$1:$CT$46,$F13+1,FALSE)</f>
        <v>0</v>
      </c>
      <c r="H13" s="11">
        <f>HLOOKUP(elaboration!$B$6,'Curve FAM'!$C$1:$CT$46,$F13+1,FALSE)</f>
        <v>0</v>
      </c>
      <c r="I13" s="11">
        <f>HLOOKUP(elaboration!$B$6,'Curve HEX'!$C$1:$CT$46,$F13+1,FALSE)</f>
        <v>0</v>
      </c>
      <c r="J13" s="11" t="e">
        <f t="shared" si="1"/>
        <v>#NUM!</v>
      </c>
      <c r="K13" s="11" t="e">
        <f t="shared" si="2"/>
        <v>#NUM!</v>
      </c>
      <c r="L13" s="11" t="e">
        <f t="shared" si="3"/>
        <v>#NUM!</v>
      </c>
      <c r="M13" s="11" t="e">
        <f>IF(NOT(ISERROR(J13)), IF($F13&gt;elaboration!$B$14, J13, NA()), NA())</f>
        <v>#N/A</v>
      </c>
      <c r="N13" s="11" t="e">
        <f>IF(NOT(ISERROR(K13)), IF($F13&gt;elaboration!$B$15, K13, NA()), NA())</f>
        <v>#N/A</v>
      </c>
      <c r="O13" s="11" t="e">
        <f>IF(NOT(ISERROR(L13)), IF($F13&gt;elaboration!$B$16, L13, NA()), NA())</f>
        <v>#N/A</v>
      </c>
    </row>
    <row r="14" spans="1:15" x14ac:dyDescent="0.15">
      <c r="F14" s="11">
        <v>12</v>
      </c>
      <c r="G14" s="11">
        <f>HLOOKUP(elaboration!$B$6,'Curve Cy5'!$C$1:$CT$46,$F14+1,FALSE)</f>
        <v>0</v>
      </c>
      <c r="H14" s="11">
        <f>HLOOKUP(elaboration!$B$6,'Curve FAM'!$C$1:$CT$46,$F14+1,FALSE)</f>
        <v>0</v>
      </c>
      <c r="I14" s="11">
        <f>HLOOKUP(elaboration!$B$6,'Curve HEX'!$C$1:$CT$46,$F14+1,FALSE)</f>
        <v>0</v>
      </c>
      <c r="J14" s="11" t="e">
        <f t="shared" si="1"/>
        <v>#NUM!</v>
      </c>
      <c r="K14" s="11" t="e">
        <f t="shared" si="2"/>
        <v>#NUM!</v>
      </c>
      <c r="L14" s="11" t="e">
        <f t="shared" si="3"/>
        <v>#NUM!</v>
      </c>
      <c r="M14" s="11" t="e">
        <f>IF(NOT(ISERROR(J14)), IF($F14&gt;elaboration!$B$14, J14, NA()), NA())</f>
        <v>#N/A</v>
      </c>
      <c r="N14" s="11" t="e">
        <f>IF(NOT(ISERROR(K14)), IF($F14&gt;elaboration!$B$15, K14, NA()), NA())</f>
        <v>#N/A</v>
      </c>
      <c r="O14" s="11" t="e">
        <f>IF(NOT(ISERROR(L14)), IF($F14&gt;elaboration!$B$16, L14, NA()), NA())</f>
        <v>#N/A</v>
      </c>
    </row>
    <row r="15" spans="1:15" x14ac:dyDescent="0.15">
      <c r="F15" s="11">
        <v>13</v>
      </c>
      <c r="G15" s="11">
        <f>HLOOKUP(elaboration!$B$6,'Curve Cy5'!$C$1:$CT$46,$F15+1,FALSE)</f>
        <v>0</v>
      </c>
      <c r="H15" s="11">
        <f>HLOOKUP(elaboration!$B$6,'Curve FAM'!$C$1:$CT$46,$F15+1,FALSE)</f>
        <v>0</v>
      </c>
      <c r="I15" s="11">
        <f>HLOOKUP(elaboration!$B$6,'Curve HEX'!$C$1:$CT$46,$F15+1,FALSE)</f>
        <v>0</v>
      </c>
      <c r="J15" s="11" t="e">
        <f t="shared" si="1"/>
        <v>#NUM!</v>
      </c>
      <c r="K15" s="11" t="e">
        <f t="shared" si="2"/>
        <v>#NUM!</v>
      </c>
      <c r="L15" s="11" t="e">
        <f t="shared" si="3"/>
        <v>#NUM!</v>
      </c>
      <c r="M15" s="11" t="e">
        <f>IF(NOT(ISERROR(J15)), IF($F15&gt;elaboration!$B$14, J15, NA()), NA())</f>
        <v>#N/A</v>
      </c>
      <c r="N15" s="11" t="e">
        <f>IF(NOT(ISERROR(K15)), IF($F15&gt;elaboration!$B$15, K15, NA()), NA())</f>
        <v>#N/A</v>
      </c>
      <c r="O15" s="11" t="e">
        <f>IF(NOT(ISERROR(L15)), IF($F15&gt;elaboration!$B$16, L15, NA()), NA())</f>
        <v>#N/A</v>
      </c>
    </row>
    <row r="16" spans="1:15" x14ac:dyDescent="0.15">
      <c r="F16" s="11">
        <v>14</v>
      </c>
      <c r="G16" s="11">
        <f>HLOOKUP(elaboration!$B$6,'Curve Cy5'!$C$1:$CT$46,$F16+1,FALSE)</f>
        <v>0</v>
      </c>
      <c r="H16" s="11">
        <f>HLOOKUP(elaboration!$B$6,'Curve FAM'!$C$1:$CT$46,$F16+1,FALSE)</f>
        <v>0</v>
      </c>
      <c r="I16" s="11">
        <f>HLOOKUP(elaboration!$B$6,'Curve HEX'!$C$1:$CT$46,$F16+1,FALSE)</f>
        <v>0</v>
      </c>
      <c r="J16" s="11" t="e">
        <f t="shared" si="1"/>
        <v>#NUM!</v>
      </c>
      <c r="K16" s="11" t="e">
        <f t="shared" si="2"/>
        <v>#NUM!</v>
      </c>
      <c r="L16" s="11" t="e">
        <f t="shared" si="3"/>
        <v>#NUM!</v>
      </c>
      <c r="M16" s="11" t="e">
        <f>IF(NOT(ISERROR(J16)), IF($F16&gt;elaboration!$B$14, J16, NA()), NA())</f>
        <v>#N/A</v>
      </c>
      <c r="N16" s="11" t="e">
        <f>IF(NOT(ISERROR(K16)), IF($F16&gt;elaboration!$B$15, K16, NA()), NA())</f>
        <v>#N/A</v>
      </c>
      <c r="O16" s="11" t="e">
        <f>IF(NOT(ISERROR(L16)), IF($F16&gt;elaboration!$B$16, L16, NA()), NA())</f>
        <v>#N/A</v>
      </c>
    </row>
    <row r="17" spans="6:15" x14ac:dyDescent="0.15">
      <c r="F17" s="11">
        <v>15</v>
      </c>
      <c r="G17" s="11">
        <f>HLOOKUP(elaboration!$B$6,'Curve Cy5'!$C$1:$CT$46,$F17+1,FALSE)</f>
        <v>0</v>
      </c>
      <c r="H17" s="11">
        <f>HLOOKUP(elaboration!$B$6,'Curve FAM'!$C$1:$CT$46,$F17+1,FALSE)</f>
        <v>0</v>
      </c>
      <c r="I17" s="11">
        <f>HLOOKUP(elaboration!$B$6,'Curve HEX'!$C$1:$CT$46,$F17+1,FALSE)</f>
        <v>0</v>
      </c>
      <c r="J17" s="11" t="e">
        <f t="shared" si="1"/>
        <v>#NUM!</v>
      </c>
      <c r="K17" s="11" t="e">
        <f t="shared" si="2"/>
        <v>#NUM!</v>
      </c>
      <c r="L17" s="11" t="e">
        <f t="shared" si="3"/>
        <v>#NUM!</v>
      </c>
      <c r="M17" s="11" t="e">
        <f>IF(NOT(ISERROR(J17)), IF($F17&gt;elaboration!$B$14, J17, NA()), NA())</f>
        <v>#N/A</v>
      </c>
      <c r="N17" s="11" t="e">
        <f>IF(NOT(ISERROR(K17)), IF($F17&gt;elaboration!$B$15, K17, NA()), NA())</f>
        <v>#N/A</v>
      </c>
      <c r="O17" s="11" t="e">
        <f>IF(NOT(ISERROR(L17)), IF($F17&gt;elaboration!$B$16, L17, NA()), NA())</f>
        <v>#N/A</v>
      </c>
    </row>
    <row r="18" spans="6:15" x14ac:dyDescent="0.15">
      <c r="F18" s="11">
        <v>16</v>
      </c>
      <c r="G18" s="11">
        <f>HLOOKUP(elaboration!$B$6,'Curve Cy5'!$C$1:$CT$46,$F18+1,FALSE)</f>
        <v>0</v>
      </c>
      <c r="H18" s="11">
        <f>HLOOKUP(elaboration!$B$6,'Curve FAM'!$C$1:$CT$46,$F18+1,FALSE)</f>
        <v>0</v>
      </c>
      <c r="I18" s="11">
        <f>HLOOKUP(elaboration!$B$6,'Curve HEX'!$C$1:$CT$46,$F18+1,FALSE)</f>
        <v>0</v>
      </c>
      <c r="J18" s="11" t="e">
        <f t="shared" si="1"/>
        <v>#NUM!</v>
      </c>
      <c r="K18" s="11" t="e">
        <f t="shared" si="2"/>
        <v>#NUM!</v>
      </c>
      <c r="L18" s="11" t="e">
        <f t="shared" si="3"/>
        <v>#NUM!</v>
      </c>
      <c r="M18" s="11" t="e">
        <f>IF(NOT(ISERROR(J18)), IF($F18&gt;elaboration!$B$14, J18, NA()), NA())</f>
        <v>#N/A</v>
      </c>
      <c r="N18" s="11" t="e">
        <f>IF(NOT(ISERROR(K18)), IF($F18&gt;elaboration!$B$15, K18, NA()), NA())</f>
        <v>#N/A</v>
      </c>
      <c r="O18" s="11" t="e">
        <f>IF(NOT(ISERROR(L18)), IF($F18&gt;elaboration!$B$16, L18, NA()), NA())</f>
        <v>#N/A</v>
      </c>
    </row>
    <row r="19" spans="6:15" x14ac:dyDescent="0.15">
      <c r="F19" s="11">
        <v>17</v>
      </c>
      <c r="G19" s="11">
        <f>HLOOKUP(elaboration!$B$6,'Curve Cy5'!$C$1:$CT$46,$F19+1,FALSE)</f>
        <v>0</v>
      </c>
      <c r="H19" s="11">
        <f>HLOOKUP(elaboration!$B$6,'Curve FAM'!$C$1:$CT$46,$F19+1,FALSE)</f>
        <v>0</v>
      </c>
      <c r="I19" s="11">
        <f>HLOOKUP(elaboration!$B$6,'Curve HEX'!$C$1:$CT$46,$F19+1,FALSE)</f>
        <v>0</v>
      </c>
      <c r="J19" s="11" t="e">
        <f t="shared" si="1"/>
        <v>#NUM!</v>
      </c>
      <c r="K19" s="11" t="e">
        <f t="shared" si="2"/>
        <v>#NUM!</v>
      </c>
      <c r="L19" s="11" t="e">
        <f t="shared" si="3"/>
        <v>#NUM!</v>
      </c>
      <c r="M19" s="11" t="e">
        <f>IF(NOT(ISERROR(J19)), IF($F19&gt;elaboration!$B$14, J19, NA()), NA())</f>
        <v>#N/A</v>
      </c>
      <c r="N19" s="11" t="e">
        <f>IF(NOT(ISERROR(K19)), IF($F19&gt;elaboration!$B$15, K19, NA()), NA())</f>
        <v>#N/A</v>
      </c>
      <c r="O19" s="11" t="e">
        <f>IF(NOT(ISERROR(L19)), IF($F19&gt;elaboration!$B$16, L19, NA()), NA())</f>
        <v>#N/A</v>
      </c>
    </row>
    <row r="20" spans="6:15" x14ac:dyDescent="0.15">
      <c r="F20" s="11">
        <v>18</v>
      </c>
      <c r="G20" s="11">
        <f>HLOOKUP(elaboration!$B$6,'Curve Cy5'!$C$1:$CT$46,$F20+1,FALSE)</f>
        <v>0</v>
      </c>
      <c r="H20" s="11">
        <f>HLOOKUP(elaboration!$B$6,'Curve FAM'!$C$1:$CT$46,$F20+1,FALSE)</f>
        <v>0</v>
      </c>
      <c r="I20" s="11">
        <f>HLOOKUP(elaboration!$B$6,'Curve HEX'!$C$1:$CT$46,$F20+1,FALSE)</f>
        <v>0</v>
      </c>
      <c r="J20" s="11" t="e">
        <f t="shared" si="1"/>
        <v>#NUM!</v>
      </c>
      <c r="K20" s="11" t="e">
        <f t="shared" si="2"/>
        <v>#NUM!</v>
      </c>
      <c r="L20" s="11" t="e">
        <f t="shared" si="3"/>
        <v>#NUM!</v>
      </c>
      <c r="M20" s="11" t="e">
        <f>IF(NOT(ISERROR(J20)), IF($F20&gt;elaboration!$B$14, J20, NA()), NA())</f>
        <v>#N/A</v>
      </c>
      <c r="N20" s="11" t="e">
        <f>IF(NOT(ISERROR(K20)), IF($F20&gt;elaboration!$B$15, K20, NA()), NA())</f>
        <v>#N/A</v>
      </c>
      <c r="O20" s="11" t="e">
        <f>IF(NOT(ISERROR(L20)), IF($F20&gt;elaboration!$B$16, L20, NA()), NA())</f>
        <v>#N/A</v>
      </c>
    </row>
    <row r="21" spans="6:15" x14ac:dyDescent="0.15">
      <c r="F21" s="11">
        <v>19</v>
      </c>
      <c r="G21" s="11">
        <f>HLOOKUP(elaboration!$B$6,'Curve Cy5'!$C$1:$CT$46,$F21+1,FALSE)</f>
        <v>0</v>
      </c>
      <c r="H21" s="11">
        <f>HLOOKUP(elaboration!$B$6,'Curve FAM'!$C$1:$CT$46,$F21+1,FALSE)</f>
        <v>0</v>
      </c>
      <c r="I21" s="11">
        <f>HLOOKUP(elaboration!$B$6,'Curve HEX'!$C$1:$CT$46,$F21+1,FALSE)</f>
        <v>0</v>
      </c>
      <c r="J21" s="11" t="e">
        <f t="shared" si="1"/>
        <v>#NUM!</v>
      </c>
      <c r="K21" s="11" t="e">
        <f t="shared" si="2"/>
        <v>#NUM!</v>
      </c>
      <c r="L21" s="11" t="e">
        <f t="shared" si="3"/>
        <v>#NUM!</v>
      </c>
      <c r="M21" s="11" t="e">
        <f>IF(NOT(ISERROR(J21)), IF($F21&gt;elaboration!$B$14, J21, NA()), NA())</f>
        <v>#N/A</v>
      </c>
      <c r="N21" s="11" t="e">
        <f>IF(NOT(ISERROR(K21)), IF($F21&gt;elaboration!$B$15, K21, NA()), NA())</f>
        <v>#N/A</v>
      </c>
      <c r="O21" s="11" t="e">
        <f>IF(NOT(ISERROR(L21)), IF($F21&gt;elaboration!$B$16, L21, NA()), NA())</f>
        <v>#N/A</v>
      </c>
    </row>
    <row r="22" spans="6:15" x14ac:dyDescent="0.15">
      <c r="F22" s="11">
        <v>20</v>
      </c>
      <c r="G22" s="11">
        <f>HLOOKUP(elaboration!$B$6,'Curve Cy5'!$C$1:$CT$46,$F22+1,FALSE)</f>
        <v>0</v>
      </c>
      <c r="H22" s="11">
        <f>HLOOKUP(elaboration!$B$6,'Curve FAM'!$C$1:$CT$46,$F22+1,FALSE)</f>
        <v>0</v>
      </c>
      <c r="I22" s="11">
        <f>HLOOKUP(elaboration!$B$6,'Curve HEX'!$C$1:$CT$46,$F22+1,FALSE)</f>
        <v>0</v>
      </c>
      <c r="J22" s="11" t="e">
        <f t="shared" si="1"/>
        <v>#NUM!</v>
      </c>
      <c r="K22" s="11" t="e">
        <f t="shared" si="2"/>
        <v>#NUM!</v>
      </c>
      <c r="L22" s="11" t="e">
        <f t="shared" si="3"/>
        <v>#NUM!</v>
      </c>
      <c r="M22" s="11" t="e">
        <f>IF(NOT(ISERROR(J22)), IF($F22&gt;elaboration!$B$14, J22, NA()), NA())</f>
        <v>#N/A</v>
      </c>
      <c r="N22" s="11" t="e">
        <f>IF(NOT(ISERROR(K22)), IF($F22&gt;elaboration!$B$15, K22, NA()), NA())</f>
        <v>#N/A</v>
      </c>
      <c r="O22" s="11" t="e">
        <f>IF(NOT(ISERROR(L22)), IF($F22&gt;elaboration!$B$16, L22, NA()), NA())</f>
        <v>#N/A</v>
      </c>
    </row>
    <row r="23" spans="6:15" x14ac:dyDescent="0.15">
      <c r="F23" s="11">
        <v>21</v>
      </c>
      <c r="G23" s="11">
        <f>HLOOKUP(elaboration!$B$6,'Curve Cy5'!$C$1:$CT$46,$F23+1,FALSE)</f>
        <v>0</v>
      </c>
      <c r="H23" s="11">
        <f>HLOOKUP(elaboration!$B$6,'Curve FAM'!$C$1:$CT$46,$F23+1,FALSE)</f>
        <v>0</v>
      </c>
      <c r="I23" s="11">
        <f>HLOOKUP(elaboration!$B$6,'Curve HEX'!$C$1:$CT$46,$F23+1,FALSE)</f>
        <v>0</v>
      </c>
      <c r="J23" s="11" t="e">
        <f t="shared" si="1"/>
        <v>#NUM!</v>
      </c>
      <c r="K23" s="27" t="e">
        <f t="shared" si="2"/>
        <v>#NUM!</v>
      </c>
      <c r="L23" s="11" t="e">
        <f t="shared" si="3"/>
        <v>#NUM!</v>
      </c>
      <c r="M23" s="11" t="e">
        <f>IF(NOT(ISERROR(J23)), IF($F23&gt;elaboration!$B$14, J23, NA()), NA())</f>
        <v>#N/A</v>
      </c>
      <c r="N23" s="11" t="e">
        <f>IF(NOT(ISERROR(K23)), IF($F23&gt;elaboration!$B$15, K23, NA()), NA())</f>
        <v>#N/A</v>
      </c>
      <c r="O23" s="11" t="e">
        <f>IF(NOT(ISERROR(L23)), IF($F23&gt;elaboration!$B$16, L23, NA()), NA())</f>
        <v>#N/A</v>
      </c>
    </row>
    <row r="24" spans="6:15" x14ac:dyDescent="0.15">
      <c r="F24" s="11">
        <v>22</v>
      </c>
      <c r="G24" s="11">
        <f>HLOOKUP(elaboration!$B$6,'Curve Cy5'!$C$1:$CT$46,$F24+1,FALSE)</f>
        <v>0</v>
      </c>
      <c r="H24" s="11">
        <f>HLOOKUP(elaboration!$B$6,'Curve FAM'!$C$1:$CT$46,$F24+1,FALSE)</f>
        <v>0</v>
      </c>
      <c r="I24" s="11">
        <f>HLOOKUP(elaboration!$B$6,'Curve HEX'!$C$1:$CT$46,$F24+1,FALSE)</f>
        <v>0</v>
      </c>
      <c r="J24" s="11" t="e">
        <f t="shared" si="1"/>
        <v>#NUM!</v>
      </c>
      <c r="K24" s="11" t="e">
        <f t="shared" si="2"/>
        <v>#NUM!</v>
      </c>
      <c r="L24" s="11" t="e">
        <f t="shared" si="3"/>
        <v>#NUM!</v>
      </c>
      <c r="M24" s="11" t="e">
        <f>IF(NOT(ISERROR(J24)), IF($F24&gt;elaboration!$B$14, J24, NA()), NA())</f>
        <v>#N/A</v>
      </c>
      <c r="N24" s="11" t="e">
        <f>IF(NOT(ISERROR(K24)), IF($F24&gt;elaboration!$B$15, K24, NA()), NA())</f>
        <v>#N/A</v>
      </c>
      <c r="O24" s="11" t="e">
        <f>IF(NOT(ISERROR(L24)), IF($F24&gt;elaboration!$B$16, L24, NA()), NA())</f>
        <v>#N/A</v>
      </c>
    </row>
    <row r="25" spans="6:15" x14ac:dyDescent="0.15">
      <c r="F25" s="11">
        <v>23</v>
      </c>
      <c r="G25" s="11">
        <f>HLOOKUP(elaboration!$B$6,'Curve Cy5'!$C$1:$CT$46,$F25+1,FALSE)</f>
        <v>0</v>
      </c>
      <c r="H25" s="11">
        <f>HLOOKUP(elaboration!$B$6,'Curve FAM'!$C$1:$CT$46,$F25+1,FALSE)</f>
        <v>0</v>
      </c>
      <c r="I25" s="11">
        <f>HLOOKUP(elaboration!$B$6,'Curve HEX'!$C$1:$CT$46,$F25+1,FALSE)</f>
        <v>0</v>
      </c>
      <c r="J25" s="11" t="e">
        <f t="shared" si="1"/>
        <v>#NUM!</v>
      </c>
      <c r="K25" s="11" t="e">
        <f t="shared" si="2"/>
        <v>#NUM!</v>
      </c>
      <c r="L25" s="11" t="e">
        <f t="shared" si="3"/>
        <v>#NUM!</v>
      </c>
      <c r="M25" s="11" t="e">
        <f>IF(NOT(ISERROR(J25)), IF($F25&gt;elaboration!$B$14, J25, NA()), NA())</f>
        <v>#N/A</v>
      </c>
      <c r="N25" s="11" t="e">
        <f>IF(NOT(ISERROR(K25)), IF($F25&gt;elaboration!$B$15, K25, NA()), NA())</f>
        <v>#N/A</v>
      </c>
      <c r="O25" s="11" t="e">
        <f>IF(NOT(ISERROR(L25)), IF($F25&gt;elaboration!$B$16, L25, NA()), NA())</f>
        <v>#N/A</v>
      </c>
    </row>
    <row r="26" spans="6:15" x14ac:dyDescent="0.15">
      <c r="F26" s="11">
        <v>24</v>
      </c>
      <c r="G26" s="11">
        <f>HLOOKUP(elaboration!$B$6,'Curve Cy5'!$C$1:$CT$46,$F26+1,FALSE)</f>
        <v>0</v>
      </c>
      <c r="H26" s="11">
        <f>HLOOKUP(elaboration!$B$6,'Curve FAM'!$C$1:$CT$46,$F26+1,FALSE)</f>
        <v>0</v>
      </c>
      <c r="I26" s="11">
        <f>HLOOKUP(elaboration!$B$6,'Curve HEX'!$C$1:$CT$46,$F26+1,FALSE)</f>
        <v>0</v>
      </c>
      <c r="J26" s="11" t="e">
        <f t="shared" si="1"/>
        <v>#NUM!</v>
      </c>
      <c r="K26" s="11" t="e">
        <f t="shared" si="2"/>
        <v>#NUM!</v>
      </c>
      <c r="L26" s="11" t="e">
        <f t="shared" si="3"/>
        <v>#NUM!</v>
      </c>
      <c r="M26" s="11" t="e">
        <f>IF(NOT(ISERROR(J26)), IF($F26&gt;elaboration!$B$14, J26, NA()), NA())</f>
        <v>#N/A</v>
      </c>
      <c r="N26" s="11" t="e">
        <f>IF(NOT(ISERROR(K26)), IF($F26&gt;elaboration!$B$15, K26, NA()), NA())</f>
        <v>#N/A</v>
      </c>
      <c r="O26" s="11" t="e">
        <f>IF(NOT(ISERROR(L26)), IF($F26&gt;elaboration!$B$16, L26, NA()), NA())</f>
        <v>#N/A</v>
      </c>
    </row>
    <row r="27" spans="6:15" x14ac:dyDescent="0.15">
      <c r="F27" s="11">
        <v>25</v>
      </c>
      <c r="G27" s="11">
        <f>HLOOKUP(elaboration!$B$6,'Curve Cy5'!$C$1:$CT$46,$F27+1,FALSE)</f>
        <v>0</v>
      </c>
      <c r="H27" s="11">
        <f>HLOOKUP(elaboration!$B$6,'Curve FAM'!$C$1:$CT$46,$F27+1,FALSE)</f>
        <v>0</v>
      </c>
      <c r="I27" s="11">
        <f>HLOOKUP(elaboration!$B$6,'Curve HEX'!$C$1:$CT$46,$F27+1,FALSE)</f>
        <v>0</v>
      </c>
      <c r="J27" s="11" t="e">
        <f t="shared" si="1"/>
        <v>#NUM!</v>
      </c>
      <c r="K27" s="11" t="e">
        <f t="shared" si="2"/>
        <v>#NUM!</v>
      </c>
      <c r="L27" s="11" t="e">
        <f t="shared" si="3"/>
        <v>#NUM!</v>
      </c>
      <c r="M27" s="11" t="e">
        <f>IF(NOT(ISERROR(J27)), IF($F27&gt;elaboration!$B$14, J27, NA()), NA())</f>
        <v>#N/A</v>
      </c>
      <c r="N27" s="11" t="e">
        <f>IF(NOT(ISERROR(K27)), IF($F27&gt;elaboration!$B$15, K27, NA()), NA())</f>
        <v>#N/A</v>
      </c>
      <c r="O27" s="11" t="e">
        <f>IF(NOT(ISERROR(L27)), IF($F27&gt;elaboration!$B$16, L27, NA()), NA())</f>
        <v>#N/A</v>
      </c>
    </row>
    <row r="28" spans="6:15" x14ac:dyDescent="0.15">
      <c r="F28" s="11">
        <v>26</v>
      </c>
      <c r="G28" s="11">
        <f>HLOOKUP(elaboration!$B$6,'Curve Cy5'!$C$1:$CT$46,$F28+1,FALSE)</f>
        <v>0</v>
      </c>
      <c r="H28" s="11">
        <f>HLOOKUP(elaboration!$B$6,'Curve FAM'!$C$1:$CT$46,$F28+1,FALSE)</f>
        <v>0</v>
      </c>
      <c r="I28" s="11">
        <f>HLOOKUP(elaboration!$B$6,'Curve HEX'!$C$1:$CT$46,$F28+1,FALSE)</f>
        <v>0</v>
      </c>
      <c r="J28" s="11" t="e">
        <f t="shared" si="1"/>
        <v>#NUM!</v>
      </c>
      <c r="K28" s="11" t="e">
        <f t="shared" si="2"/>
        <v>#NUM!</v>
      </c>
      <c r="L28" s="11" t="e">
        <f t="shared" si="3"/>
        <v>#NUM!</v>
      </c>
      <c r="M28" s="11" t="e">
        <f>IF(NOT(ISERROR(J28)), IF($F28&gt;elaboration!$B$14, J28, NA()), NA())</f>
        <v>#N/A</v>
      </c>
      <c r="N28" s="11" t="e">
        <f>IF(NOT(ISERROR(K28)), IF($F28&gt;elaboration!$B$15, K28, NA()), NA())</f>
        <v>#N/A</v>
      </c>
      <c r="O28" s="11" t="e">
        <f>IF(NOT(ISERROR(L28)), IF($F28&gt;elaboration!$B$16, L28, NA()), NA())</f>
        <v>#N/A</v>
      </c>
    </row>
    <row r="29" spans="6:15" x14ac:dyDescent="0.15">
      <c r="F29" s="11">
        <v>27</v>
      </c>
      <c r="G29" s="11">
        <f>HLOOKUP(elaboration!$B$6,'Curve Cy5'!$C$1:$CT$46,$F29+1,FALSE)</f>
        <v>0</v>
      </c>
      <c r="H29" s="11">
        <f>HLOOKUP(elaboration!$B$6,'Curve FAM'!$C$1:$CT$46,$F29+1,FALSE)</f>
        <v>0</v>
      </c>
      <c r="I29" s="11">
        <f>HLOOKUP(elaboration!$B$6,'Curve HEX'!$C$1:$CT$46,$F29+1,FALSE)</f>
        <v>0</v>
      </c>
      <c r="J29" s="11" t="e">
        <f t="shared" si="1"/>
        <v>#NUM!</v>
      </c>
      <c r="K29" s="11" t="e">
        <f t="shared" si="2"/>
        <v>#NUM!</v>
      </c>
      <c r="L29" s="11" t="e">
        <f t="shared" si="3"/>
        <v>#NUM!</v>
      </c>
      <c r="M29" s="11" t="e">
        <f>IF(NOT(ISERROR(J29)), IF($F29&gt;elaboration!$B$14, J29, NA()), NA())</f>
        <v>#N/A</v>
      </c>
      <c r="N29" s="11" t="e">
        <f>IF(NOT(ISERROR(K29)), IF($F29&gt;elaboration!$B$15, K29, NA()), NA())</f>
        <v>#N/A</v>
      </c>
      <c r="O29" s="11" t="e">
        <f>IF(NOT(ISERROR(L29)), IF($F29&gt;elaboration!$B$16, L29, NA()), NA())</f>
        <v>#N/A</v>
      </c>
    </row>
    <row r="30" spans="6:15" x14ac:dyDescent="0.15">
      <c r="F30" s="11">
        <v>28</v>
      </c>
      <c r="G30" s="11">
        <f>HLOOKUP(elaboration!$B$6,'Curve Cy5'!$C$1:$CT$46,$F30+1,FALSE)</f>
        <v>0</v>
      </c>
      <c r="H30" s="11">
        <f>HLOOKUP(elaboration!$B$6,'Curve FAM'!$C$1:$CT$46,$F30+1,FALSE)</f>
        <v>0</v>
      </c>
      <c r="I30" s="11">
        <f>HLOOKUP(elaboration!$B$6,'Curve HEX'!$C$1:$CT$46,$F30+1,FALSE)</f>
        <v>0</v>
      </c>
      <c r="J30" s="11" t="e">
        <f t="shared" si="1"/>
        <v>#NUM!</v>
      </c>
      <c r="K30" s="11" t="e">
        <f t="shared" si="2"/>
        <v>#NUM!</v>
      </c>
      <c r="L30" s="11" t="e">
        <f t="shared" si="3"/>
        <v>#NUM!</v>
      </c>
      <c r="M30" s="11" t="e">
        <f>IF(NOT(ISERROR(J30)), IF($F30&gt;elaboration!$B$14, J30, NA()), NA())</f>
        <v>#N/A</v>
      </c>
      <c r="N30" s="11" t="e">
        <f>IF(NOT(ISERROR(K30)), IF($F30&gt;elaboration!$B$15, K30, NA()), NA())</f>
        <v>#N/A</v>
      </c>
      <c r="O30" s="11" t="e">
        <f>IF(NOT(ISERROR(L30)), IF($F30&gt;elaboration!$B$16, L30, NA()), NA())</f>
        <v>#N/A</v>
      </c>
    </row>
    <row r="31" spans="6:15" x14ac:dyDescent="0.15">
      <c r="F31" s="11">
        <v>29</v>
      </c>
      <c r="G31" s="11">
        <f>HLOOKUP(elaboration!$B$6,'Curve Cy5'!$C$1:$CT$46,$F31+1,FALSE)</f>
        <v>0</v>
      </c>
      <c r="H31" s="11">
        <f>HLOOKUP(elaboration!$B$6,'Curve FAM'!$C$1:$CT$46,$F31+1,FALSE)</f>
        <v>0</v>
      </c>
      <c r="I31" s="11">
        <f>HLOOKUP(elaboration!$B$6,'Curve HEX'!$C$1:$CT$46,$F31+1,FALSE)</f>
        <v>0</v>
      </c>
      <c r="J31" s="11" t="e">
        <f t="shared" si="1"/>
        <v>#NUM!</v>
      </c>
      <c r="K31" s="11" t="e">
        <f t="shared" si="2"/>
        <v>#NUM!</v>
      </c>
      <c r="L31" s="11" t="e">
        <f t="shared" si="3"/>
        <v>#NUM!</v>
      </c>
      <c r="M31" s="11" t="e">
        <f>IF(NOT(ISERROR(J31)), IF($F31&gt;elaboration!$B$14, J31, NA()), NA())</f>
        <v>#N/A</v>
      </c>
      <c r="N31" s="11" t="e">
        <f>IF(NOT(ISERROR(K31)), IF($F31&gt;elaboration!$B$15, K31, NA()), NA())</f>
        <v>#N/A</v>
      </c>
      <c r="O31" s="11" t="e">
        <f>IF(NOT(ISERROR(L31)), IF($F31&gt;elaboration!$B$16, L31, NA()), NA())</f>
        <v>#N/A</v>
      </c>
    </row>
    <row r="32" spans="6:15" x14ac:dyDescent="0.15">
      <c r="F32" s="11">
        <v>30</v>
      </c>
      <c r="G32" s="11">
        <f>HLOOKUP(elaboration!$B$6,'Curve Cy5'!$C$1:$CT$46,$F32+1,FALSE)</f>
        <v>0</v>
      </c>
      <c r="H32" s="11">
        <f>HLOOKUP(elaboration!$B$6,'Curve FAM'!$C$1:$CT$46,$F32+1,FALSE)</f>
        <v>0</v>
      </c>
      <c r="I32" s="11">
        <f>HLOOKUP(elaboration!$B$6,'Curve HEX'!$C$1:$CT$46,$F32+1,FALSE)</f>
        <v>0</v>
      </c>
      <c r="J32" s="11" t="e">
        <f t="shared" si="1"/>
        <v>#NUM!</v>
      </c>
      <c r="K32" s="11" t="e">
        <f t="shared" si="2"/>
        <v>#NUM!</v>
      </c>
      <c r="L32" s="11" t="e">
        <f t="shared" si="3"/>
        <v>#NUM!</v>
      </c>
      <c r="M32" s="11" t="e">
        <f>IF(NOT(ISERROR(J32)), IF($F32&gt;elaboration!$B$14, J32, NA()), NA())</f>
        <v>#N/A</v>
      </c>
      <c r="N32" s="11" t="e">
        <f>IF(NOT(ISERROR(K32)), IF($F32&gt;elaboration!$B$15, K32, NA()), NA())</f>
        <v>#N/A</v>
      </c>
      <c r="O32" s="11" t="e">
        <f>IF(NOT(ISERROR(L32)), IF($F32&gt;elaboration!$B$16, L32, NA()), NA())</f>
        <v>#N/A</v>
      </c>
    </row>
    <row r="33" spans="6:15" x14ac:dyDescent="0.15">
      <c r="F33" s="11">
        <v>31</v>
      </c>
      <c r="G33" s="11">
        <f>HLOOKUP(elaboration!$B$6,'Curve Cy5'!$C$1:$CT$46,$F33+1,FALSE)</f>
        <v>0</v>
      </c>
      <c r="H33" s="11">
        <f>HLOOKUP(elaboration!$B$6,'Curve FAM'!$C$1:$CT$46,$F33+1,FALSE)</f>
        <v>0</v>
      </c>
      <c r="I33" s="11">
        <f>HLOOKUP(elaboration!$B$6,'Curve HEX'!$C$1:$CT$46,$F33+1,FALSE)</f>
        <v>0</v>
      </c>
      <c r="J33" s="11" t="e">
        <f t="shared" si="1"/>
        <v>#NUM!</v>
      </c>
      <c r="K33" s="11" t="e">
        <f t="shared" si="2"/>
        <v>#NUM!</v>
      </c>
      <c r="L33" s="11" t="e">
        <f t="shared" si="3"/>
        <v>#NUM!</v>
      </c>
      <c r="M33" s="11" t="e">
        <f>IF(NOT(ISERROR(J33)), IF($F33&gt;elaboration!$B$14, J33, NA()), NA())</f>
        <v>#N/A</v>
      </c>
      <c r="N33" s="11" t="e">
        <f>IF(NOT(ISERROR(K33)), IF($F33&gt;elaboration!$B$15, K33, NA()), NA())</f>
        <v>#N/A</v>
      </c>
      <c r="O33" s="11" t="e">
        <f>IF(NOT(ISERROR(L33)), IF($F33&gt;elaboration!$B$16, L33, NA()), NA())</f>
        <v>#N/A</v>
      </c>
    </row>
    <row r="34" spans="6:15" x14ac:dyDescent="0.15">
      <c r="F34" s="11">
        <v>32</v>
      </c>
      <c r="G34" s="11">
        <f>HLOOKUP(elaboration!$B$6,'Curve Cy5'!$C$1:$CT$46,$F34+1,FALSE)</f>
        <v>0</v>
      </c>
      <c r="H34" s="11">
        <f>HLOOKUP(elaboration!$B$6,'Curve FAM'!$C$1:$CT$46,$F34+1,FALSE)</f>
        <v>0</v>
      </c>
      <c r="I34" s="11">
        <f>HLOOKUP(elaboration!$B$6,'Curve HEX'!$C$1:$CT$46,$F34+1,FALSE)</f>
        <v>0</v>
      </c>
      <c r="J34" s="11" t="e">
        <f t="shared" si="1"/>
        <v>#NUM!</v>
      </c>
      <c r="K34" s="11" t="e">
        <f t="shared" si="2"/>
        <v>#NUM!</v>
      </c>
      <c r="L34" s="11" t="e">
        <f t="shared" si="3"/>
        <v>#NUM!</v>
      </c>
      <c r="M34" s="11" t="e">
        <f>IF(NOT(ISERROR(J34)), IF($F34&gt;elaboration!$B$14, J34, NA()), NA())</f>
        <v>#N/A</v>
      </c>
      <c r="N34" s="11" t="e">
        <f>IF(NOT(ISERROR(K34)), IF($F34&gt;elaboration!$B$15, K34, NA()), NA())</f>
        <v>#N/A</v>
      </c>
      <c r="O34" s="11" t="e">
        <f>IF(NOT(ISERROR(L34)), IF($F34&gt;elaboration!$B$16, L34, NA()), NA())</f>
        <v>#N/A</v>
      </c>
    </row>
    <row r="35" spans="6:15" x14ac:dyDescent="0.15">
      <c r="F35" s="11">
        <v>33</v>
      </c>
      <c r="G35" s="11">
        <f>HLOOKUP(elaboration!$B$6,'Curve Cy5'!$C$1:$CT$46,$F35+1,FALSE)</f>
        <v>0</v>
      </c>
      <c r="H35" s="11">
        <f>HLOOKUP(elaboration!$B$6,'Curve FAM'!$C$1:$CT$46,$F35+1,FALSE)</f>
        <v>0</v>
      </c>
      <c r="I35" s="11">
        <f>HLOOKUP(elaboration!$B$6,'Curve HEX'!$C$1:$CT$46,$F35+1,FALSE)</f>
        <v>0</v>
      </c>
      <c r="J35" s="11" t="e">
        <f t="shared" si="1"/>
        <v>#NUM!</v>
      </c>
      <c r="K35" s="11" t="e">
        <f t="shared" si="2"/>
        <v>#NUM!</v>
      </c>
      <c r="L35" s="11" t="e">
        <f t="shared" si="3"/>
        <v>#NUM!</v>
      </c>
      <c r="M35" s="11" t="e">
        <f>IF(NOT(ISERROR(J35)), IF($F35&gt;elaboration!$B$14, J35, NA()), NA())</f>
        <v>#N/A</v>
      </c>
      <c r="N35" s="11" t="e">
        <f>IF(NOT(ISERROR(K35)), IF($F35&gt;elaboration!$B$15, K35, NA()), NA())</f>
        <v>#N/A</v>
      </c>
      <c r="O35" s="11" t="e">
        <f>IF(NOT(ISERROR(L35)), IF($F35&gt;elaboration!$B$16, L35, NA()), NA())</f>
        <v>#N/A</v>
      </c>
    </row>
    <row r="36" spans="6:15" x14ac:dyDescent="0.15">
      <c r="F36" s="11">
        <v>34</v>
      </c>
      <c r="G36" s="11">
        <f>HLOOKUP(elaboration!$B$6,'Curve Cy5'!$C$1:$CT$46,$F36+1,FALSE)</f>
        <v>0</v>
      </c>
      <c r="H36" s="11">
        <f>HLOOKUP(elaboration!$B$6,'Curve FAM'!$C$1:$CT$46,$F36+1,FALSE)</f>
        <v>0</v>
      </c>
      <c r="I36" s="11">
        <f>HLOOKUP(elaboration!$B$6,'Curve HEX'!$C$1:$CT$46,$F36+1,FALSE)</f>
        <v>0</v>
      </c>
      <c r="J36" s="11" t="e">
        <f t="shared" si="1"/>
        <v>#NUM!</v>
      </c>
      <c r="K36" s="11" t="e">
        <f t="shared" si="2"/>
        <v>#NUM!</v>
      </c>
      <c r="L36" s="11" t="e">
        <f t="shared" si="3"/>
        <v>#NUM!</v>
      </c>
      <c r="M36" s="11" t="e">
        <f>IF(NOT(ISERROR(J36)), IF($F36&gt;elaboration!$B$14, J36, NA()), NA())</f>
        <v>#N/A</v>
      </c>
      <c r="N36" s="11" t="e">
        <f>IF(NOT(ISERROR(K36)), IF($F36&gt;elaboration!$B$15, K36, NA()), NA())</f>
        <v>#N/A</v>
      </c>
      <c r="O36" s="11" t="e">
        <f>IF(NOT(ISERROR(L36)), IF($F36&gt;elaboration!$B$16, L36, NA()), NA())</f>
        <v>#N/A</v>
      </c>
    </row>
    <row r="37" spans="6:15" x14ac:dyDescent="0.15">
      <c r="F37" s="11">
        <v>35</v>
      </c>
      <c r="G37" s="11">
        <f>HLOOKUP(elaboration!$B$6,'Curve Cy5'!$C$1:$CT$46,$F37+1,FALSE)</f>
        <v>0</v>
      </c>
      <c r="H37" s="11">
        <f>HLOOKUP(elaboration!$B$6,'Curve FAM'!$C$1:$CT$46,$F37+1,FALSE)</f>
        <v>0</v>
      </c>
      <c r="I37" s="11">
        <f>HLOOKUP(elaboration!$B$6,'Curve HEX'!$C$1:$CT$46,$F37+1,FALSE)</f>
        <v>0</v>
      </c>
      <c r="J37" s="11" t="e">
        <f t="shared" si="1"/>
        <v>#NUM!</v>
      </c>
      <c r="K37" s="11" t="e">
        <f t="shared" si="2"/>
        <v>#NUM!</v>
      </c>
      <c r="L37" s="11" t="e">
        <f t="shared" si="3"/>
        <v>#NUM!</v>
      </c>
      <c r="M37" s="11" t="e">
        <f>IF(NOT(ISERROR(J37)), IF($F37&gt;elaboration!$B$14, J37, NA()), NA())</f>
        <v>#N/A</v>
      </c>
      <c r="N37" s="11" t="e">
        <f>IF(NOT(ISERROR(K37)), IF($F37&gt;elaboration!$B$15, K37, NA()), NA())</f>
        <v>#N/A</v>
      </c>
      <c r="O37" s="11" t="e">
        <f>IF(NOT(ISERROR(L37)), IF($F37&gt;elaboration!$B$16, L37, NA()), NA())</f>
        <v>#N/A</v>
      </c>
    </row>
    <row r="38" spans="6:15" x14ac:dyDescent="0.15">
      <c r="F38" s="11">
        <v>36</v>
      </c>
      <c r="G38" s="11">
        <f>HLOOKUP(elaboration!$B$6,'Curve Cy5'!$C$1:$CT$46,$F38+1,FALSE)</f>
        <v>0</v>
      </c>
      <c r="H38" s="11">
        <f>HLOOKUP(elaboration!$B$6,'Curve FAM'!$C$1:$CT$46,$F38+1,FALSE)</f>
        <v>0</v>
      </c>
      <c r="I38" s="11">
        <f>HLOOKUP(elaboration!$B$6,'Curve HEX'!$C$1:$CT$46,$F38+1,FALSE)</f>
        <v>0</v>
      </c>
      <c r="J38" s="11" t="e">
        <f t="shared" si="1"/>
        <v>#NUM!</v>
      </c>
      <c r="K38" s="11" t="e">
        <f t="shared" si="2"/>
        <v>#NUM!</v>
      </c>
      <c r="L38" s="11" t="e">
        <f t="shared" si="3"/>
        <v>#NUM!</v>
      </c>
      <c r="M38" s="11" t="e">
        <f>IF(NOT(ISERROR(J38)), IF($F38&gt;elaboration!$B$14, J38, NA()), NA())</f>
        <v>#N/A</v>
      </c>
      <c r="N38" s="11" t="e">
        <f>IF(NOT(ISERROR(K38)), IF($F38&gt;elaboration!$B$15, K38, NA()), NA())</f>
        <v>#N/A</v>
      </c>
      <c r="O38" s="11" t="e">
        <f>IF(NOT(ISERROR(L38)), IF($F38&gt;elaboration!$B$16, L38, NA()), NA())</f>
        <v>#N/A</v>
      </c>
    </row>
    <row r="39" spans="6:15" x14ac:dyDescent="0.15">
      <c r="F39" s="11">
        <v>37</v>
      </c>
      <c r="G39" s="11">
        <f>HLOOKUP(elaboration!$B$6,'Curve Cy5'!$C$1:$CT$46,$F39+1,FALSE)</f>
        <v>0</v>
      </c>
      <c r="H39" s="11">
        <f>HLOOKUP(elaboration!$B$6,'Curve FAM'!$C$1:$CT$46,$F39+1,FALSE)</f>
        <v>0</v>
      </c>
      <c r="I39" s="11">
        <f>HLOOKUP(elaboration!$B$6,'Curve HEX'!$C$1:$CT$46,$F39+1,FALSE)</f>
        <v>0</v>
      </c>
      <c r="J39" s="11" t="e">
        <f t="shared" si="1"/>
        <v>#NUM!</v>
      </c>
      <c r="K39" s="11" t="e">
        <f t="shared" si="2"/>
        <v>#NUM!</v>
      </c>
      <c r="L39" s="11" t="e">
        <f t="shared" si="3"/>
        <v>#NUM!</v>
      </c>
      <c r="M39" s="11" t="e">
        <f>IF(NOT(ISERROR(J39)), IF($F39&gt;elaboration!$B$14, J39, NA()), NA())</f>
        <v>#N/A</v>
      </c>
      <c r="N39" s="11" t="e">
        <f>IF(NOT(ISERROR(K39)), IF($F39&gt;elaboration!$B$15, K39, NA()), NA())</f>
        <v>#N/A</v>
      </c>
      <c r="O39" s="11" t="e">
        <f>IF(NOT(ISERROR(L39)), IF($F39&gt;elaboration!$B$16, L39, NA()), NA())</f>
        <v>#N/A</v>
      </c>
    </row>
    <row r="40" spans="6:15" x14ac:dyDescent="0.15">
      <c r="F40" s="11">
        <v>38</v>
      </c>
      <c r="G40" s="11">
        <f>HLOOKUP(elaboration!$B$6,'Curve Cy5'!$C$1:$CT$46,$F40+1,FALSE)</f>
        <v>0</v>
      </c>
      <c r="H40" s="11">
        <f>HLOOKUP(elaboration!$B$6,'Curve FAM'!$C$1:$CT$46,$F40+1,FALSE)</f>
        <v>0</v>
      </c>
      <c r="I40" s="11">
        <f>HLOOKUP(elaboration!$B$6,'Curve HEX'!$C$1:$CT$46,$F40+1,FALSE)</f>
        <v>0</v>
      </c>
      <c r="J40" s="11" t="e">
        <f t="shared" si="1"/>
        <v>#NUM!</v>
      </c>
      <c r="K40" s="11" t="e">
        <f t="shared" si="2"/>
        <v>#NUM!</v>
      </c>
      <c r="L40" s="11" t="e">
        <f t="shared" si="3"/>
        <v>#NUM!</v>
      </c>
      <c r="M40" s="11" t="e">
        <f>IF(NOT(ISERROR(J40)), IF($F40&gt;elaboration!$B$14, J40, NA()), NA())</f>
        <v>#N/A</v>
      </c>
      <c r="N40" s="11" t="e">
        <f>IF(NOT(ISERROR(K40)), IF($F40&gt;elaboration!$B$15, K40, NA()), NA())</f>
        <v>#N/A</v>
      </c>
      <c r="O40" s="11" t="e">
        <f>IF(NOT(ISERROR(L40)), IF($F40&gt;elaboration!$B$16, L40, NA()), NA())</f>
        <v>#N/A</v>
      </c>
    </row>
    <row r="41" spans="6:15" x14ac:dyDescent="0.15">
      <c r="F41" s="11">
        <v>39</v>
      </c>
      <c r="G41" s="11">
        <f>HLOOKUP(elaboration!$B$6,'Curve Cy5'!$C$1:$CT$46,$F41+1,FALSE)</f>
        <v>0</v>
      </c>
      <c r="H41" s="11">
        <f>HLOOKUP(elaboration!$B$6,'Curve FAM'!$C$1:$CT$46,$F41+1,FALSE)</f>
        <v>0</v>
      </c>
      <c r="I41" s="11">
        <f>HLOOKUP(elaboration!$B$6,'Curve HEX'!$C$1:$CT$46,$F41+1,FALSE)</f>
        <v>0</v>
      </c>
      <c r="J41" s="11" t="e">
        <f t="shared" si="1"/>
        <v>#NUM!</v>
      </c>
      <c r="K41" s="11" t="e">
        <f t="shared" si="2"/>
        <v>#NUM!</v>
      </c>
      <c r="L41" s="11" t="e">
        <f t="shared" si="3"/>
        <v>#NUM!</v>
      </c>
      <c r="M41" s="11" t="e">
        <f>IF(NOT(ISERROR(J41)), IF($F41&gt;elaboration!$B$14, J41, NA()), NA())</f>
        <v>#N/A</v>
      </c>
      <c r="N41" s="11" t="e">
        <f>IF(NOT(ISERROR(K41)), IF($F41&gt;elaboration!$B$15, K41, NA()), NA())</f>
        <v>#N/A</v>
      </c>
      <c r="O41" s="11" t="e">
        <f>IF(NOT(ISERROR(L41)), IF($F41&gt;elaboration!$B$16, L41, NA()), NA())</f>
        <v>#N/A</v>
      </c>
    </row>
    <row r="42" spans="6:15" x14ac:dyDescent="0.15">
      <c r="F42" s="11">
        <v>40</v>
      </c>
      <c r="G42" s="11">
        <f>HLOOKUP(elaboration!$B$6,'Curve Cy5'!$C$1:$CT$46,$F42+1,FALSE)</f>
        <v>0</v>
      </c>
      <c r="H42" s="11">
        <f>HLOOKUP(elaboration!$B$6,'Curve FAM'!$C$1:$CT$46,$F42+1,FALSE)</f>
        <v>0</v>
      </c>
      <c r="I42" s="11">
        <f>HLOOKUP(elaboration!$B$6,'Curve HEX'!$C$1:$CT$46,$F42+1,FALSE)</f>
        <v>0</v>
      </c>
      <c r="J42" s="11" t="e">
        <f t="shared" si="1"/>
        <v>#NUM!</v>
      </c>
      <c r="K42" s="11" t="e">
        <f t="shared" si="2"/>
        <v>#NUM!</v>
      </c>
      <c r="L42" s="11" t="e">
        <f t="shared" si="3"/>
        <v>#NUM!</v>
      </c>
      <c r="M42" s="11" t="e">
        <f>IF(NOT(ISERROR(J42)), IF($F42&gt;elaboration!$B$14, J42, NA()), NA())</f>
        <v>#N/A</v>
      </c>
      <c r="N42" s="11" t="e">
        <f>IF(NOT(ISERROR(K42)), IF($F42&gt;elaboration!$B$15, K42, NA()), NA())</f>
        <v>#N/A</v>
      </c>
      <c r="O42" s="11" t="e">
        <f>IF(NOT(ISERROR(L42)), IF($F42&gt;elaboration!$B$16, L42, NA()), NA())</f>
        <v>#N/A</v>
      </c>
    </row>
    <row r="43" spans="6:15" x14ac:dyDescent="0.15">
      <c r="F43" s="11">
        <v>41</v>
      </c>
      <c r="G43" s="11">
        <f>HLOOKUP(elaboration!$B$6,'Curve Cy5'!$C$1:$CT$46,$F43+1,FALSE)</f>
        <v>0</v>
      </c>
      <c r="H43" s="11">
        <f>HLOOKUP(elaboration!$B$6,'Curve FAM'!$C$1:$CT$46,$F43+1,FALSE)</f>
        <v>0</v>
      </c>
      <c r="I43" s="11">
        <f>HLOOKUP(elaboration!$B$6,'Curve HEX'!$C$1:$CT$46,$F43+1,FALSE)</f>
        <v>0</v>
      </c>
      <c r="J43" s="11" t="e">
        <f t="shared" ref="J43:J47" si="4">IF($B$2,LOG10(G43),G43)</f>
        <v>#NUM!</v>
      </c>
      <c r="K43" s="11" t="e">
        <f t="shared" ref="K43:K47" si="5">IF($B$2,LOG10(H43),H43)</f>
        <v>#NUM!</v>
      </c>
      <c r="L43" s="11" t="e">
        <f t="shared" ref="L43:L47" si="6">IF($B$2,LOG10(I43),I43)</f>
        <v>#NUM!</v>
      </c>
      <c r="M43" s="11" t="e">
        <f>IF(NOT(ISERROR(J43)), IF($F43&gt;elaboration!$B$14, J43, NA()), NA())</f>
        <v>#N/A</v>
      </c>
      <c r="N43" s="11" t="e">
        <f>IF(NOT(ISERROR(K43)), IF($F43&gt;elaboration!$B$15, K43, NA()), NA())</f>
        <v>#N/A</v>
      </c>
      <c r="O43" s="11" t="e">
        <f>IF(NOT(ISERROR(L43)), IF($F43&gt;elaboration!$B$16, L43, NA()), NA())</f>
        <v>#N/A</v>
      </c>
    </row>
    <row r="44" spans="6:15" x14ac:dyDescent="0.15">
      <c r="F44" s="11">
        <v>42</v>
      </c>
      <c r="G44" s="11">
        <f>HLOOKUP(elaboration!$B$6,'Curve Cy5'!$C$1:$CT$46,$F44+1,FALSE)</f>
        <v>0</v>
      </c>
      <c r="H44" s="11">
        <f>HLOOKUP(elaboration!$B$6,'Curve FAM'!$C$1:$CT$46,$F44+1,FALSE)</f>
        <v>0</v>
      </c>
      <c r="I44" s="11">
        <f>HLOOKUP(elaboration!$B$6,'Curve HEX'!$C$1:$CT$46,$F44+1,FALSE)</f>
        <v>0</v>
      </c>
      <c r="J44" s="11" t="e">
        <f t="shared" si="4"/>
        <v>#NUM!</v>
      </c>
      <c r="K44" s="11" t="e">
        <f t="shared" si="5"/>
        <v>#NUM!</v>
      </c>
      <c r="L44" s="11" t="e">
        <f t="shared" si="6"/>
        <v>#NUM!</v>
      </c>
      <c r="M44" s="11" t="e">
        <f>IF(NOT(ISERROR(J44)), IF($F44&gt;elaboration!$B$14, J44, NA()), NA())</f>
        <v>#N/A</v>
      </c>
      <c r="N44" s="11" t="e">
        <f>IF(NOT(ISERROR(K44)), IF($F44&gt;elaboration!$B$15, K44, NA()), NA())</f>
        <v>#N/A</v>
      </c>
      <c r="O44" s="11" t="e">
        <f>IF(NOT(ISERROR(L44)), IF($F44&gt;elaboration!$B$16, L44, NA()), NA())</f>
        <v>#N/A</v>
      </c>
    </row>
    <row r="45" spans="6:15" x14ac:dyDescent="0.15">
      <c r="F45" s="11">
        <v>43</v>
      </c>
      <c r="G45" s="11">
        <f>HLOOKUP(elaboration!$B$6,'Curve Cy5'!$C$1:$CT$46,$F45+1,FALSE)</f>
        <v>0</v>
      </c>
      <c r="H45" s="11">
        <f>HLOOKUP(elaboration!$B$6,'Curve FAM'!$C$1:$CT$46,$F45+1,FALSE)</f>
        <v>0</v>
      </c>
      <c r="I45" s="11">
        <f>HLOOKUP(elaboration!$B$6,'Curve HEX'!$C$1:$CT$46,$F45+1,FALSE)</f>
        <v>0</v>
      </c>
      <c r="J45" s="11" t="e">
        <f t="shared" si="4"/>
        <v>#NUM!</v>
      </c>
      <c r="K45" s="11" t="e">
        <f t="shared" si="5"/>
        <v>#NUM!</v>
      </c>
      <c r="L45" s="11" t="e">
        <f t="shared" si="6"/>
        <v>#NUM!</v>
      </c>
      <c r="M45" s="11" t="e">
        <f>IF(NOT(ISERROR(J45)), IF($F45&gt;elaboration!$B$14, J45, NA()), NA())</f>
        <v>#N/A</v>
      </c>
      <c r="N45" s="11" t="e">
        <f>IF(NOT(ISERROR(K45)), IF($F45&gt;elaboration!$B$15, K45, NA()), NA())</f>
        <v>#N/A</v>
      </c>
      <c r="O45" s="11" t="e">
        <f>IF(NOT(ISERROR(L45)), IF($F45&gt;elaboration!$B$16, L45, NA()), NA())</f>
        <v>#N/A</v>
      </c>
    </row>
    <row r="46" spans="6:15" x14ac:dyDescent="0.15">
      <c r="F46" s="11">
        <v>44</v>
      </c>
      <c r="G46" s="11">
        <f>HLOOKUP(elaboration!$B$6,'Curve Cy5'!$C$1:$CT$46,$F46+1,FALSE)</f>
        <v>0</v>
      </c>
      <c r="H46" s="11">
        <f>HLOOKUP(elaboration!$B$6,'Curve FAM'!$C$1:$CT$46,$F46+1,FALSE)</f>
        <v>0</v>
      </c>
      <c r="I46" s="11">
        <f>HLOOKUP(elaboration!$B$6,'Curve HEX'!$C$1:$CT$46,$F46+1,FALSE)</f>
        <v>0</v>
      </c>
      <c r="J46" s="11" t="e">
        <f t="shared" si="4"/>
        <v>#NUM!</v>
      </c>
      <c r="K46" s="11" t="e">
        <f t="shared" si="5"/>
        <v>#NUM!</v>
      </c>
      <c r="L46" s="11" t="e">
        <f t="shared" si="6"/>
        <v>#NUM!</v>
      </c>
      <c r="M46" s="11" t="e">
        <f>IF(NOT(ISERROR(J46)), IF($F46&gt;elaboration!$B$14, J46, NA()), NA())</f>
        <v>#N/A</v>
      </c>
      <c r="N46" s="11" t="e">
        <f>IF(NOT(ISERROR(K46)), IF($F46&gt;elaboration!$B$15, K46, NA()), NA())</f>
        <v>#N/A</v>
      </c>
      <c r="O46" s="11" t="e">
        <f>IF(NOT(ISERROR(L46)), IF($F46&gt;elaboration!$B$16, L46, NA()), NA())</f>
        <v>#N/A</v>
      </c>
    </row>
    <row r="47" spans="6:15" x14ac:dyDescent="0.15">
      <c r="F47" s="11">
        <v>45</v>
      </c>
      <c r="G47" s="11">
        <f>HLOOKUP(elaboration!$B$6,'Curve Cy5'!$C$1:$CT$46,$F47+1,FALSE)</f>
        <v>0</v>
      </c>
      <c r="H47" s="11">
        <f>HLOOKUP(elaboration!$B$6,'Curve FAM'!$C$1:$CT$46,$F47+1,FALSE)</f>
        <v>0</v>
      </c>
      <c r="I47" s="11">
        <f>HLOOKUP(elaboration!$B$6,'Curve HEX'!$C$1:$CT$46,$F47+1,FALSE)</f>
        <v>0</v>
      </c>
      <c r="J47" s="11" t="e">
        <f t="shared" si="4"/>
        <v>#NUM!</v>
      </c>
      <c r="K47" s="11" t="e">
        <f t="shared" si="5"/>
        <v>#NUM!</v>
      </c>
      <c r="L47" s="11" t="e">
        <f t="shared" si="6"/>
        <v>#NUM!</v>
      </c>
      <c r="M47" s="11" t="e">
        <f>IF(NOT(ISERROR(J47)), IF($F47&gt;elaboration!$B$14, J47, NA()), NA())</f>
        <v>#N/A</v>
      </c>
      <c r="N47" s="11" t="e">
        <f>IF(NOT(ISERROR(K47)), IF($F47&gt;elaboration!$B$15, K47, NA()), NA())</f>
        <v>#N/A</v>
      </c>
      <c r="O47" s="11" t="e">
        <f>IF(NOT(ISERROR(L47)), IF($F47&gt;elaboration!$B$16, L47, NA()), NA())</f>
        <v>#N/A</v>
      </c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:W97"/>
  <sheetViews>
    <sheetView workbookViewId="0">
      <selection activeCell="A25" sqref="A25"/>
    </sheetView>
  </sheetViews>
  <sheetFormatPr defaultRowHeight="10.5" x14ac:dyDescent="0.15"/>
  <cols>
    <col min="1" max="1" width="9.33203125" style="11"/>
    <col min="2" max="2" width="12.6640625" style="11" bestFit="1" customWidth="1"/>
    <col min="3" max="3" width="12.6640625" style="11" customWidth="1"/>
    <col min="4" max="5" width="11.33203125" style="11" customWidth="1"/>
    <col min="6" max="8" width="10.5" style="11" customWidth="1"/>
    <col min="9" max="9" width="12.1640625" style="11" customWidth="1"/>
    <col min="10" max="10" width="13" style="11" bestFit="1" customWidth="1"/>
    <col min="11" max="11" width="13.33203125" style="11" customWidth="1"/>
    <col min="12" max="12" width="9.33203125" style="11"/>
    <col min="13" max="13" width="19.1640625" style="11" bestFit="1" customWidth="1"/>
    <col min="14" max="14" width="9.33203125" style="11"/>
    <col min="15" max="15" width="22.5" style="11" customWidth="1"/>
    <col min="16" max="16" width="14.1640625" style="11" bestFit="1" customWidth="1"/>
    <col min="17" max="17" width="9.33203125" style="11"/>
    <col min="18" max="18" width="16.6640625" style="11" bestFit="1" customWidth="1"/>
    <col min="19" max="20" width="9.33203125" style="11"/>
    <col min="21" max="21" width="10" style="11" bestFit="1" customWidth="1"/>
    <col min="22" max="16384" width="9.33203125" style="11"/>
  </cols>
  <sheetData>
    <row r="1" spans="1:23" x14ac:dyDescent="0.15">
      <c r="A1" s="27" t="s">
        <v>303</v>
      </c>
      <c r="B1" s="27" t="s">
        <v>304</v>
      </c>
      <c r="C1" s="27" t="s">
        <v>328</v>
      </c>
      <c r="D1" s="27" t="s">
        <v>297</v>
      </c>
      <c r="E1" s="27" t="s">
        <v>327</v>
      </c>
      <c r="F1" s="27" t="s">
        <v>298</v>
      </c>
      <c r="G1" s="27" t="s">
        <v>300</v>
      </c>
      <c r="H1" s="27" t="s">
        <v>299</v>
      </c>
      <c r="I1" s="27" t="s">
        <v>317</v>
      </c>
      <c r="J1" s="27" t="s">
        <v>301</v>
      </c>
      <c r="K1" s="27" t="s">
        <v>302</v>
      </c>
      <c r="L1" s="27" t="s">
        <v>305</v>
      </c>
      <c r="M1" s="27" t="s">
        <v>309</v>
      </c>
      <c r="N1" s="27" t="s">
        <v>310</v>
      </c>
      <c r="O1" s="27" t="s">
        <v>329</v>
      </c>
      <c r="P1" s="27" t="s">
        <v>312</v>
      </c>
      <c r="Q1" s="27" t="s">
        <v>306</v>
      </c>
      <c r="R1" s="27" t="s">
        <v>330</v>
      </c>
      <c r="S1" s="37" t="s">
        <v>334</v>
      </c>
      <c r="T1" s="27" t="s">
        <v>371</v>
      </c>
      <c r="U1" s="27" t="s">
        <v>381</v>
      </c>
      <c r="V1" s="27" t="s">
        <v>388</v>
      </c>
      <c r="W1" s="27" t="s">
        <v>390</v>
      </c>
    </row>
    <row r="2" spans="1:23" x14ac:dyDescent="0.15">
      <c r="A2" s="3" t="s">
        <v>190</v>
      </c>
      <c r="B2" s="3" t="str">
        <f>MID(analysis_table[well_no_zero],1,1) &amp; IF(VALUE(MID(analysis_table[well_no_zero],2,2)) &lt; 10, "0", "") &amp; MID(analysis_table[well_no_zero],2,2)</f>
        <v>A01</v>
      </c>
      <c r="C2" s="3" t="str">
        <f>IF('Layout piastra'!$B$2 &lt;&gt; "", 'Layout piastra'!$B$2, "")</f>
        <v/>
      </c>
      <c r="D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" s="3" t="str">
        <f>VLOOKUP(_xlfn.NUMBERVALUE(MID(analysis_table[well_no_zero], 2, 2)), column_to_batch, 2, FALSE)</f>
        <v>A</v>
      </c>
      <c r="F2" s="11" t="str">
        <f t="array" ref="F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" s="11" t="str">
        <f t="array" ref="G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" s="11" t="str">
        <f t="array" ref="H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" s="11" t="b">
        <f>NOT(ISNA(VLOOKUP(analysis_table[well_no_zero],control_wells,2,FALSE)))</f>
        <v>1</v>
      </c>
      <c r="K2" s="11" t="str">
        <f>_xlfn.IFNA(VLOOKUP(analysis_table[well_no_zero],control_wells,2,FALSE), "No")</f>
        <v>NTC</v>
      </c>
      <c r="L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" s="27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" s="38" t="str">
        <f ca="1">IF(analysis_table[is_well_empy], "", VLOOKUP(analysis_table[test_result_auto],result_symbols_auto,2,FALSE))</f>
        <v/>
      </c>
      <c r="O2" s="102"/>
      <c r="P2" s="38" t="b">
        <f>analysis_table[user_result]&lt;&gt; ""</f>
        <v>0</v>
      </c>
      <c r="Q2" s="38" t="str">
        <f>IF(analysis_table[test_status], IF(analysis_table[user_result]="CORRETTO", analysis_table[test_symbol_auto], VLOOKUP(analysis_table[user_result],result_symbols,2,FALSE)), "")</f>
        <v/>
      </c>
      <c r="R2" s="38" t="str">
        <f t="array" aca="1" ref="R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" s="38" t="b">
        <f ca="1">IF(OR(analysis_table[is_well_empy]=TRUE, analysis_table[final_result]=""), FALSE, VLOOKUP(analysis_table[final_result],is_result_to_send,2,FALSE))</f>
        <v>0</v>
      </c>
      <c r="T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" s="38" t="str">
        <f t="array" aca="1" ref="U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" s="38" t="s">
        <v>389</v>
      </c>
      <c r="W2" s="105">
        <v>1</v>
      </c>
    </row>
    <row r="3" spans="1:23" x14ac:dyDescent="0.15">
      <c r="A3" s="3" t="s">
        <v>108</v>
      </c>
      <c r="B3" s="3" t="str">
        <f>MID(analysis_table[well_no_zero],1,1) &amp; IF(VALUE(MID(analysis_table[well_no_zero],2,2)) &lt; 10, "0", "") &amp; MID(analysis_table[well_no_zero],2,2)</f>
        <v>A02</v>
      </c>
      <c r="C3" s="3" t="str">
        <f>IF('Layout piastra'!$B$2 &lt;&gt; "", 'Layout piastra'!$B$2, "")</f>
        <v/>
      </c>
      <c r="D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" s="3" t="str">
        <f>VLOOKUP(_xlfn.NUMBERVALUE(MID(analysis_table[well_no_zero], 2, 2)), column_to_batch, 2, FALSE)</f>
        <v>A</v>
      </c>
      <c r="F3" s="11" t="str">
        <f t="array" ref="F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" s="11" t="str">
        <f t="array" ref="G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" s="11" t="str">
        <f t="array" ref="H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" s="11" t="b">
        <f>NOT(ISNA(VLOOKUP(analysis_table[well_no_zero],control_wells,2,FALSE)))</f>
        <v>1</v>
      </c>
      <c r="K3" s="11" t="str">
        <f>_xlfn.IFNA(VLOOKUP(analysis_table[well_no_zero],control_wells,2,FALSE), "No")</f>
        <v>PK</v>
      </c>
      <c r="L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" s="38" t="str">
        <f ca="1">IF(analysis_table[is_well_empy], "", VLOOKUP(analysis_table[test_result_auto],result_symbols_auto,2,FALSE))</f>
        <v/>
      </c>
      <c r="O3" s="102"/>
      <c r="P3" s="38" t="b">
        <f>analysis_table[user_result]&lt;&gt; ""</f>
        <v>0</v>
      </c>
      <c r="Q3" s="38" t="str">
        <f>IF(analysis_table[test_status], IF(analysis_table[user_result]="CORRETTO", analysis_table[test_symbol_auto], VLOOKUP(analysis_table[user_result],result_symbols,2,FALSE)), "")</f>
        <v/>
      </c>
      <c r="R3" s="38" t="str">
        <f t="array" aca="1" ref="R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" s="38" t="b">
        <f ca="1">IF(OR(analysis_table[is_well_empy]=TRUE, analysis_table[final_result]=""), FALSE, VLOOKUP(analysis_table[final_result],is_result_to_send,2,FALSE))</f>
        <v>0</v>
      </c>
      <c r="T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" s="38" t="str">
        <f t="array" aca="1" ref="U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" s="38" t="s">
        <v>389</v>
      </c>
      <c r="W3" s="38">
        <v>1</v>
      </c>
    </row>
    <row r="4" spans="1:23" x14ac:dyDescent="0.15">
      <c r="A4" s="3" t="s">
        <v>191</v>
      </c>
      <c r="B4" s="3" t="str">
        <f>MID(analysis_table[well_no_zero],1,1) &amp; IF(VALUE(MID(analysis_table[well_no_zero],2,2)) &lt; 10, "0", "") &amp; MID(analysis_table[well_no_zero],2,2)</f>
        <v>A03</v>
      </c>
      <c r="C4" s="3" t="str">
        <f>IF('Layout piastra'!$B$2 &lt;&gt; "", 'Layout piastra'!$B$2, "")</f>
        <v/>
      </c>
      <c r="D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" s="3" t="str">
        <f>VLOOKUP(_xlfn.NUMBERVALUE(MID(analysis_table[well_no_zero], 2, 2)), column_to_batch, 2, FALSE)</f>
        <v>A</v>
      </c>
      <c r="F4" s="11" t="str">
        <f t="array" ref="F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" s="11" t="str">
        <f t="array" ref="G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" s="11" t="str">
        <f t="array" ref="H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" s="11" t="b">
        <f>NOT(ISNA(VLOOKUP(analysis_table[well_no_zero],control_wells,2,FALSE)))</f>
        <v>0</v>
      </c>
      <c r="K4" s="11" t="str">
        <f>_xlfn.IFNA(VLOOKUP(analysis_table[well_no_zero],control_wells,2,FALSE), "No")</f>
        <v>No</v>
      </c>
      <c r="L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" s="38" t="str">
        <f ca="1">IF(analysis_table[is_well_empy], "", VLOOKUP(analysis_table[test_result_auto],result_symbols_auto,2,FALSE))</f>
        <v/>
      </c>
      <c r="O4" s="96"/>
      <c r="P4" s="38" t="b">
        <f>analysis_table[user_result]&lt;&gt; ""</f>
        <v>0</v>
      </c>
      <c r="Q4" s="38" t="str">
        <f>IF(analysis_table[test_status], IF(analysis_table[user_result]="CORRETTO", analysis_table[test_symbol_auto], VLOOKUP(analysis_table[user_result],result_symbols,2,FALSE)), "")</f>
        <v/>
      </c>
      <c r="R4" s="38" t="str">
        <f t="array" aca="1" ref="R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" s="38" t="b">
        <f ca="1">IF(OR(analysis_table[is_well_empy]=TRUE, analysis_table[final_result]=""), FALSE, VLOOKUP(analysis_table[final_result],is_result_to_send,2,FALSE))</f>
        <v>0</v>
      </c>
      <c r="T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" s="38" t="str">
        <f t="array" aca="1" ref="U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" s="38" t="s">
        <v>389</v>
      </c>
      <c r="W4" s="38">
        <v>1</v>
      </c>
    </row>
    <row r="5" spans="1:23" x14ac:dyDescent="0.15">
      <c r="A5" s="3" t="s">
        <v>192</v>
      </c>
      <c r="B5" s="3" t="str">
        <f>MID(analysis_table[well_no_zero],1,1) &amp; IF(VALUE(MID(analysis_table[well_no_zero],2,2)) &lt; 10, "0", "") &amp; MID(analysis_table[well_no_zero],2,2)</f>
        <v>A04</v>
      </c>
      <c r="C5" s="3" t="str">
        <f>IF('Layout piastra'!$B$2 &lt;&gt; "", 'Layout piastra'!$B$2, "")</f>
        <v/>
      </c>
      <c r="D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" s="3" t="str">
        <f>VLOOKUP(_xlfn.NUMBERVALUE(MID(analysis_table[well_no_zero], 2, 2)), column_to_batch, 2, FALSE)</f>
        <v>A</v>
      </c>
      <c r="F5" s="11" t="str">
        <f t="array" ref="F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" s="11" t="str">
        <f t="array" ref="G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" s="11" t="str">
        <f t="array" ref="H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" s="11" t="b">
        <f>NOT(ISNA(VLOOKUP(analysis_table[well_no_zero],control_wells,2,FALSE)))</f>
        <v>0</v>
      </c>
      <c r="K5" s="11" t="str">
        <f>_xlfn.IFNA(VLOOKUP(analysis_table[well_no_zero],control_wells,2,FALSE), "No")</f>
        <v>No</v>
      </c>
      <c r="L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" s="38" t="str">
        <f ca="1">IF(analysis_table[is_well_empy], "", VLOOKUP(analysis_table[test_result_auto],result_symbols_auto,2,FALSE))</f>
        <v/>
      </c>
      <c r="O5" s="102"/>
      <c r="P5" s="38" t="b">
        <f>analysis_table[user_result]&lt;&gt; ""</f>
        <v>0</v>
      </c>
      <c r="Q5" s="38" t="str">
        <f>IF(analysis_table[test_status], IF(analysis_table[user_result]="CORRETTO", analysis_table[test_symbol_auto], VLOOKUP(analysis_table[user_result],result_symbols,2,FALSE)), "")</f>
        <v/>
      </c>
      <c r="R5" s="38" t="str">
        <f t="array" aca="1" ref="R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" s="38" t="b">
        <f ca="1">IF(OR(analysis_table[is_well_empy]=TRUE, analysis_table[final_result]=""), FALSE, VLOOKUP(analysis_table[final_result],is_result_to_send,2,FALSE))</f>
        <v>0</v>
      </c>
      <c r="T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" s="38" t="str">
        <f t="array" aca="1" ref="U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" s="38" t="s">
        <v>389</v>
      </c>
      <c r="W5" s="38">
        <v>1</v>
      </c>
    </row>
    <row r="6" spans="1:23" x14ac:dyDescent="0.15">
      <c r="A6" s="3" t="s">
        <v>193</v>
      </c>
      <c r="B6" s="3" t="str">
        <f>MID(analysis_table[well_no_zero],1,1) &amp; IF(VALUE(MID(analysis_table[well_no_zero],2,2)) &lt; 10, "0", "") &amp; MID(analysis_table[well_no_zero],2,2)</f>
        <v>A05</v>
      </c>
      <c r="C6" s="3" t="str">
        <f>IF('Layout piastra'!$B$2 &lt;&gt; "", 'Layout piastra'!$B$2, "")</f>
        <v/>
      </c>
      <c r="D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" s="3" t="str">
        <f>VLOOKUP(_xlfn.NUMBERVALUE(MID(analysis_table[well_no_zero], 2, 2)), column_to_batch, 2, FALSE)</f>
        <v>B</v>
      </c>
      <c r="F6" s="11" t="str">
        <f t="array" ref="F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" s="11" t="str">
        <f t="array" ref="G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" s="11" t="str">
        <f t="array" ref="H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" s="11" t="b">
        <f>NOT(ISNA(VLOOKUP(analysis_table[well_no_zero],control_wells,2,FALSE)))</f>
        <v>0</v>
      </c>
      <c r="K6" s="11" t="str">
        <f>_xlfn.IFNA(VLOOKUP(analysis_table[well_no_zero],control_wells,2,FALSE), "No")</f>
        <v>No</v>
      </c>
      <c r="L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" s="38" t="str">
        <f ca="1">IF(analysis_table[is_well_empy], "", VLOOKUP(analysis_table[test_result_auto],result_symbols_auto,2,FALSE))</f>
        <v/>
      </c>
      <c r="O6" s="96"/>
      <c r="P6" s="38" t="b">
        <f>analysis_table[user_result]&lt;&gt; ""</f>
        <v>0</v>
      </c>
      <c r="Q6" s="38" t="str">
        <f>IF(analysis_table[test_status], IF(analysis_table[user_result]="CORRETTO", analysis_table[test_symbol_auto], VLOOKUP(analysis_table[user_result],result_symbols,2,FALSE)), "")</f>
        <v/>
      </c>
      <c r="R6" s="38" t="str">
        <f t="array" aca="1" ref="R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" s="38" t="b">
        <f ca="1">IF(OR(analysis_table[is_well_empy]=TRUE, analysis_table[final_result]=""), FALSE, VLOOKUP(analysis_table[final_result],is_result_to_send,2,FALSE))</f>
        <v>0</v>
      </c>
      <c r="T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" s="38" t="str">
        <f t="array" aca="1" ref="U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" s="38" t="s">
        <v>389</v>
      </c>
      <c r="W6" s="38">
        <v>1</v>
      </c>
    </row>
    <row r="7" spans="1:23" x14ac:dyDescent="0.15">
      <c r="A7" s="3" t="s">
        <v>194</v>
      </c>
      <c r="B7" s="3" t="str">
        <f>MID(analysis_table[well_no_zero],1,1) &amp; IF(VALUE(MID(analysis_table[well_no_zero],2,2)) &lt; 10, "0", "") &amp; MID(analysis_table[well_no_zero],2,2)</f>
        <v>A06</v>
      </c>
      <c r="C7" s="3" t="str">
        <f>IF('Layout piastra'!$B$2 &lt;&gt; "", 'Layout piastra'!$B$2, "")</f>
        <v/>
      </c>
      <c r="D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" s="3" t="str">
        <f>VLOOKUP(_xlfn.NUMBERVALUE(MID(analysis_table[well_no_zero], 2, 2)), column_to_batch, 2, FALSE)</f>
        <v>B</v>
      </c>
      <c r="F7" s="11" t="str">
        <f t="array" ref="F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" s="11" t="str">
        <f t="array" ref="G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" s="11" t="str">
        <f t="array" ref="H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" s="11" t="b">
        <f>NOT(ISNA(VLOOKUP(analysis_table[well_no_zero],control_wells,2,FALSE)))</f>
        <v>0</v>
      </c>
      <c r="K7" s="11" t="str">
        <f>_xlfn.IFNA(VLOOKUP(analysis_table[well_no_zero],control_wells,2,FALSE), "No")</f>
        <v>No</v>
      </c>
      <c r="L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" s="38" t="str">
        <f ca="1">IF(analysis_table[is_well_empy], "", VLOOKUP(analysis_table[test_result_auto],result_symbols_auto,2,FALSE))</f>
        <v/>
      </c>
      <c r="O7" s="96"/>
      <c r="P7" s="38" t="b">
        <f>analysis_table[user_result]&lt;&gt; ""</f>
        <v>0</v>
      </c>
      <c r="Q7" s="38" t="str">
        <f>IF(analysis_table[test_status], IF(analysis_table[user_result]="CORRETTO", analysis_table[test_symbol_auto], VLOOKUP(analysis_table[user_result],result_symbols,2,FALSE)), "")</f>
        <v/>
      </c>
      <c r="R7" s="38" t="str">
        <f t="array" aca="1" ref="R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" s="38" t="b">
        <f ca="1">IF(OR(analysis_table[is_well_empy]=TRUE, analysis_table[final_result]=""), FALSE, VLOOKUP(analysis_table[final_result],is_result_to_send,2,FALSE))</f>
        <v>0</v>
      </c>
      <c r="T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" s="38" t="str">
        <f t="array" aca="1" ref="U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" s="38" t="s">
        <v>389</v>
      </c>
      <c r="W7" s="38">
        <v>1</v>
      </c>
    </row>
    <row r="8" spans="1:23" x14ac:dyDescent="0.15">
      <c r="A8" s="3" t="s">
        <v>195</v>
      </c>
      <c r="B8" s="3" t="str">
        <f>MID(analysis_table[well_no_zero],1,1) &amp; IF(VALUE(MID(analysis_table[well_no_zero],2,2)) &lt; 10, "0", "") &amp; MID(analysis_table[well_no_zero],2,2)</f>
        <v>A07</v>
      </c>
      <c r="C8" s="3" t="str">
        <f>IF('Layout piastra'!$B$2 &lt;&gt; "", 'Layout piastra'!$B$2, "")</f>
        <v/>
      </c>
      <c r="D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" s="3" t="str">
        <f>VLOOKUP(_xlfn.NUMBERVALUE(MID(analysis_table[well_no_zero], 2, 2)), column_to_batch, 2, FALSE)</f>
        <v>B</v>
      </c>
      <c r="F8" s="11" t="str">
        <f t="array" ref="F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" s="11" t="str">
        <f t="array" ref="G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" s="11" t="str">
        <f t="array" ref="H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" s="11" t="b">
        <f>NOT(ISNA(VLOOKUP(analysis_table[well_no_zero],control_wells,2,FALSE)))</f>
        <v>0</v>
      </c>
      <c r="K8" s="11" t="str">
        <f>_xlfn.IFNA(VLOOKUP(analysis_table[well_no_zero],control_wells,2,FALSE), "No")</f>
        <v>No</v>
      </c>
      <c r="L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" s="38" t="str">
        <f ca="1">IF(analysis_table[is_well_empy], "", VLOOKUP(analysis_table[test_result_auto],result_symbols_auto,2,FALSE))</f>
        <v/>
      </c>
      <c r="O8" s="96"/>
      <c r="P8" s="38" t="b">
        <f>analysis_table[user_result]&lt;&gt; ""</f>
        <v>0</v>
      </c>
      <c r="Q8" s="38" t="str">
        <f>IF(analysis_table[test_status], IF(analysis_table[user_result]="CORRETTO", analysis_table[test_symbol_auto], VLOOKUP(analysis_table[user_result],result_symbols,2,FALSE)), "")</f>
        <v/>
      </c>
      <c r="R8" s="38" t="str">
        <f t="array" aca="1" ref="R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" s="38" t="b">
        <f ca="1">IF(OR(analysis_table[is_well_empy]=TRUE, analysis_table[final_result]=""), FALSE, VLOOKUP(analysis_table[final_result],is_result_to_send,2,FALSE))</f>
        <v>0</v>
      </c>
      <c r="T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" s="38" t="str">
        <f t="array" aca="1" ref="U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" s="38" t="s">
        <v>389</v>
      </c>
      <c r="W8" s="38">
        <v>1</v>
      </c>
    </row>
    <row r="9" spans="1:23" x14ac:dyDescent="0.15">
      <c r="A9" s="3" t="s">
        <v>196</v>
      </c>
      <c r="B9" s="3" t="str">
        <f>MID(analysis_table[well_no_zero],1,1) &amp; IF(VALUE(MID(analysis_table[well_no_zero],2,2)) &lt; 10, "0", "") &amp; MID(analysis_table[well_no_zero],2,2)</f>
        <v>A08</v>
      </c>
      <c r="C9" s="3" t="str">
        <f>IF('Layout piastra'!$B$2 &lt;&gt; "", 'Layout piastra'!$B$2, "")</f>
        <v/>
      </c>
      <c r="D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" s="3" t="str">
        <f>VLOOKUP(_xlfn.NUMBERVALUE(MID(analysis_table[well_no_zero], 2, 2)), column_to_batch, 2, FALSE)</f>
        <v>B</v>
      </c>
      <c r="F9" s="11" t="str">
        <f t="array" ref="F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" s="11" t="str">
        <f t="array" ref="G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" s="11" t="str">
        <f t="array" ref="H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" s="11" t="b">
        <f>NOT(ISNA(VLOOKUP(analysis_table[well_no_zero],control_wells,2,FALSE)))</f>
        <v>0</v>
      </c>
      <c r="K9" s="11" t="str">
        <f>_xlfn.IFNA(VLOOKUP(analysis_table[well_no_zero],control_wells,2,FALSE), "No")</f>
        <v>No</v>
      </c>
      <c r="L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" s="38" t="str">
        <f ca="1">IF(analysis_table[is_well_empy], "", VLOOKUP(analysis_table[test_result_auto],result_symbols_auto,2,FALSE))</f>
        <v/>
      </c>
      <c r="O9" s="96"/>
      <c r="P9" s="38" t="b">
        <f>analysis_table[user_result]&lt;&gt; ""</f>
        <v>0</v>
      </c>
      <c r="Q9" s="38" t="str">
        <f>IF(analysis_table[test_status], IF(analysis_table[user_result]="CORRETTO", analysis_table[test_symbol_auto], VLOOKUP(analysis_table[user_result],result_symbols,2,FALSE)), "")</f>
        <v/>
      </c>
      <c r="R9" s="38" t="str">
        <f t="array" aca="1" ref="R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" s="38" t="b">
        <f ca="1">IF(OR(analysis_table[is_well_empy]=TRUE, analysis_table[final_result]=""), FALSE, VLOOKUP(analysis_table[final_result],is_result_to_send,2,FALSE))</f>
        <v>0</v>
      </c>
      <c r="T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" s="38" t="str">
        <f t="array" aca="1" ref="U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" s="38" t="s">
        <v>389</v>
      </c>
      <c r="W9" s="38">
        <v>1</v>
      </c>
    </row>
    <row r="10" spans="1:23" x14ac:dyDescent="0.15">
      <c r="A10" s="3" t="s">
        <v>197</v>
      </c>
      <c r="B10" s="3" t="str">
        <f>MID(analysis_table[well_no_zero],1,1) &amp; IF(VALUE(MID(analysis_table[well_no_zero],2,2)) &lt; 10, "0", "") &amp; MID(analysis_table[well_no_zero],2,2)</f>
        <v>A09</v>
      </c>
      <c r="C10" s="3" t="str">
        <f>IF('Layout piastra'!$B$2 &lt;&gt; "", 'Layout piastra'!$B$2, "")</f>
        <v/>
      </c>
      <c r="D1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0" s="3" t="str">
        <f>VLOOKUP(_xlfn.NUMBERVALUE(MID(analysis_table[well_no_zero], 2, 2)), column_to_batch, 2, FALSE)</f>
        <v>C</v>
      </c>
      <c r="F10" s="11" t="str">
        <f t="array" ref="F1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0" s="11" t="str">
        <f t="array" ref="G1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0" s="11" t="str">
        <f t="array" ref="H1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0" s="11" t="b">
        <f>NOT(ISNA(VLOOKUP(analysis_table[well_no_zero],control_wells,2,FALSE)))</f>
        <v>0</v>
      </c>
      <c r="K10" s="11" t="str">
        <f>_xlfn.IFNA(VLOOKUP(analysis_table[well_no_zero],control_wells,2,FALSE), "No")</f>
        <v>No</v>
      </c>
      <c r="L1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0" s="38" t="str">
        <f ca="1">IF(analysis_table[is_well_empy], "", VLOOKUP(analysis_table[test_result_auto],result_symbols_auto,2,FALSE))</f>
        <v/>
      </c>
      <c r="O10" s="102"/>
      <c r="P10" s="38" t="b">
        <f>analysis_table[user_result]&lt;&gt; ""</f>
        <v>0</v>
      </c>
      <c r="Q10" s="38" t="str">
        <f>IF(analysis_table[test_status], IF(analysis_table[user_result]="CORRETTO", analysis_table[test_symbol_auto], VLOOKUP(analysis_table[user_result],result_symbols,2,FALSE)), "")</f>
        <v/>
      </c>
      <c r="R10" s="38" t="str">
        <f t="array" aca="1" ref="R1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0" s="38" t="b">
        <f ca="1">IF(OR(analysis_table[is_well_empy]=TRUE, analysis_table[final_result]=""), FALSE, VLOOKUP(analysis_table[final_result],is_result_to_send,2,FALSE))</f>
        <v>0</v>
      </c>
      <c r="T1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0" s="38" t="str">
        <f t="array" aca="1" ref="U1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0" s="38" t="s">
        <v>389</v>
      </c>
      <c r="W10" s="38">
        <v>1</v>
      </c>
    </row>
    <row r="11" spans="1:23" x14ac:dyDescent="0.15">
      <c r="A11" s="3" t="s">
        <v>137</v>
      </c>
      <c r="B11" s="3" t="str">
        <f>MID(analysis_table[well_no_zero],1,1) &amp; IF(VALUE(MID(analysis_table[well_no_zero],2,2)) &lt; 10, "0", "") &amp; MID(analysis_table[well_no_zero],2,2)</f>
        <v>A10</v>
      </c>
      <c r="C11" s="3" t="str">
        <f>IF('Layout piastra'!$B$2 &lt;&gt; "", 'Layout piastra'!$B$2, "")</f>
        <v/>
      </c>
      <c r="D1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1" s="3" t="str">
        <f>VLOOKUP(_xlfn.NUMBERVALUE(MID(analysis_table[well_no_zero], 2, 2)), column_to_batch, 2, FALSE)</f>
        <v>C</v>
      </c>
      <c r="F11" s="11" t="str">
        <f t="array" ref="F1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1" s="11" t="str">
        <f t="array" ref="G1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1" s="11" t="str">
        <f t="array" ref="H1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1" s="11" t="b">
        <f>NOT(ISNA(VLOOKUP(analysis_table[well_no_zero],control_wells,2,FALSE)))</f>
        <v>0</v>
      </c>
      <c r="K11" s="11" t="str">
        <f>_xlfn.IFNA(VLOOKUP(analysis_table[well_no_zero],control_wells,2,FALSE), "No")</f>
        <v>No</v>
      </c>
      <c r="L1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1" s="38" t="str">
        <f ca="1">IF(analysis_table[is_well_empy], "", VLOOKUP(analysis_table[test_result_auto],result_symbols_auto,2,FALSE))</f>
        <v/>
      </c>
      <c r="O11" s="96"/>
      <c r="P11" s="38" t="b">
        <f>analysis_table[user_result]&lt;&gt; ""</f>
        <v>0</v>
      </c>
      <c r="Q11" s="38" t="str">
        <f>IF(analysis_table[test_status], IF(analysis_table[user_result]="CORRETTO", analysis_table[test_symbol_auto], VLOOKUP(analysis_table[user_result],result_symbols,2,FALSE)), "")</f>
        <v/>
      </c>
      <c r="R11" s="38" t="str">
        <f t="array" aca="1" ref="R1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1" s="38" t="b">
        <f ca="1">IF(OR(analysis_table[is_well_empy]=TRUE, analysis_table[final_result]=""), FALSE, VLOOKUP(analysis_table[final_result],is_result_to_send,2,FALSE))</f>
        <v>0</v>
      </c>
      <c r="T1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1" s="38" t="str">
        <f t="array" aca="1" ref="U1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1" s="38" t="s">
        <v>389</v>
      </c>
      <c r="W11" s="38">
        <v>1</v>
      </c>
    </row>
    <row r="12" spans="1:23" x14ac:dyDescent="0.15">
      <c r="A12" s="3" t="s">
        <v>145</v>
      </c>
      <c r="B12" s="3" t="str">
        <f>MID(analysis_table[well_no_zero],1,1) &amp; IF(VALUE(MID(analysis_table[well_no_zero],2,2)) &lt; 10, "0", "") &amp; MID(analysis_table[well_no_zero],2,2)</f>
        <v>A11</v>
      </c>
      <c r="C12" s="3" t="str">
        <f>IF('Layout piastra'!$B$2 &lt;&gt; "", 'Layout piastra'!$B$2, "")</f>
        <v/>
      </c>
      <c r="D1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2" s="3" t="str">
        <f>VLOOKUP(_xlfn.NUMBERVALUE(MID(analysis_table[well_no_zero], 2, 2)), column_to_batch, 2, FALSE)</f>
        <v>C</v>
      </c>
      <c r="F12" s="11" t="str">
        <f t="array" ref="F1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2" s="11" t="str">
        <f t="array" ref="G1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2" s="11" t="str">
        <f t="array" ref="H1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2" s="11" t="b">
        <f>NOT(ISNA(VLOOKUP(analysis_table[well_no_zero],control_wells,2,FALSE)))</f>
        <v>0</v>
      </c>
      <c r="K12" s="11" t="str">
        <f>_xlfn.IFNA(VLOOKUP(analysis_table[well_no_zero],control_wells,2,FALSE), "No")</f>
        <v>No</v>
      </c>
      <c r="L1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2" s="38" t="str">
        <f ca="1">IF(analysis_table[is_well_empy], "", VLOOKUP(analysis_table[test_result_auto],result_symbols_auto,2,FALSE))</f>
        <v/>
      </c>
      <c r="O12" s="96"/>
      <c r="P12" s="38" t="b">
        <f>analysis_table[user_result]&lt;&gt; ""</f>
        <v>0</v>
      </c>
      <c r="Q12" s="38" t="str">
        <f>IF(analysis_table[test_status], IF(analysis_table[user_result]="CORRETTO", analysis_table[test_symbol_auto], VLOOKUP(analysis_table[user_result],result_symbols,2,FALSE)), "")</f>
        <v/>
      </c>
      <c r="R12" s="38" t="str">
        <f t="array" aca="1" ref="R1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2" s="38" t="b">
        <f ca="1">IF(OR(analysis_table[is_well_empy]=TRUE, analysis_table[final_result]=""), FALSE, VLOOKUP(analysis_table[final_result],is_result_to_send,2,FALSE))</f>
        <v>0</v>
      </c>
      <c r="T1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2" s="38" t="str">
        <f t="array" aca="1" ref="U1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2" s="38" t="s">
        <v>389</v>
      </c>
      <c r="W12" s="38">
        <v>1</v>
      </c>
    </row>
    <row r="13" spans="1:23" x14ac:dyDescent="0.15">
      <c r="A13" s="3" t="s">
        <v>153</v>
      </c>
      <c r="B13" s="3" t="str">
        <f>MID(analysis_table[well_no_zero],1,1) &amp; IF(VALUE(MID(analysis_table[well_no_zero],2,2)) &lt; 10, "0", "") &amp; MID(analysis_table[well_no_zero],2,2)</f>
        <v>A12</v>
      </c>
      <c r="C13" s="3" t="str">
        <f>IF('Layout piastra'!$B$2 &lt;&gt; "", 'Layout piastra'!$B$2, "")</f>
        <v/>
      </c>
      <c r="D1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3" s="3" t="str">
        <f>VLOOKUP(_xlfn.NUMBERVALUE(MID(analysis_table[well_no_zero], 2, 2)), column_to_batch, 2, FALSE)</f>
        <v>C</v>
      </c>
      <c r="F13" s="11" t="str">
        <f t="array" ref="F1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3" s="11" t="str">
        <f t="array" ref="G1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3" s="11" t="str">
        <f t="array" ref="H1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3" s="11" t="b">
        <f>NOT(ISNA(VLOOKUP(analysis_table[well_no_zero],control_wells,2,FALSE)))</f>
        <v>1</v>
      </c>
      <c r="K13" s="11" t="str">
        <f>_xlfn.IFNA(VLOOKUP(analysis_table[well_no_zero],control_wells,2,FALSE), "No")</f>
        <v>NTC</v>
      </c>
      <c r="L1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3" s="38" t="str">
        <f ca="1">IF(analysis_table[is_well_empy], "", VLOOKUP(analysis_table[test_result_auto],result_symbols_auto,2,FALSE))</f>
        <v/>
      </c>
      <c r="O13" s="96"/>
      <c r="P13" s="38" t="b">
        <f>analysis_table[user_result]&lt;&gt; ""</f>
        <v>0</v>
      </c>
      <c r="Q13" s="38" t="str">
        <f>IF(analysis_table[test_status], IF(analysis_table[user_result]="CORRETTO", analysis_table[test_symbol_auto], VLOOKUP(analysis_table[user_result],result_symbols,2,FALSE)), "")</f>
        <v/>
      </c>
      <c r="R13" s="38" t="str">
        <f t="array" aca="1" ref="R1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3" s="38" t="b">
        <f ca="1">IF(OR(analysis_table[is_well_empy]=TRUE, analysis_table[final_result]=""), FALSE, VLOOKUP(analysis_table[final_result],is_result_to_send,2,FALSE))</f>
        <v>0</v>
      </c>
      <c r="T1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3" s="38" t="str">
        <f t="array" aca="1" ref="U1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3" s="38" t="s">
        <v>389</v>
      </c>
      <c r="W13" s="38">
        <v>1</v>
      </c>
    </row>
    <row r="14" spans="1:23" x14ac:dyDescent="0.15">
      <c r="A14" s="3" t="s">
        <v>198</v>
      </c>
      <c r="B14" s="3" t="str">
        <f>MID(analysis_table[well_no_zero],1,1) &amp; IF(VALUE(MID(analysis_table[well_no_zero],2,2)) &lt; 10, "0", "") &amp; MID(analysis_table[well_no_zero],2,2)</f>
        <v>B01</v>
      </c>
      <c r="C14" s="3" t="str">
        <f>IF('Layout piastra'!$B$2 &lt;&gt; "", 'Layout piastra'!$B$2, "")</f>
        <v/>
      </c>
      <c r="D1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4" s="3" t="str">
        <f>VLOOKUP(_xlfn.NUMBERVALUE(MID(analysis_table[well_no_zero], 2, 2)), column_to_batch, 2, FALSE)</f>
        <v>A</v>
      </c>
      <c r="F14" s="11" t="str">
        <f t="array" ref="F1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4" s="11" t="str">
        <f t="array" ref="G1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4" s="11" t="str">
        <f t="array" ref="H1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4" s="11" t="b">
        <f>NOT(ISNA(VLOOKUP(analysis_table[well_no_zero],control_wells,2,FALSE)))</f>
        <v>0</v>
      </c>
      <c r="K14" s="11" t="str">
        <f>_xlfn.IFNA(VLOOKUP(analysis_table[well_no_zero],control_wells,2,FALSE), "No")</f>
        <v>No</v>
      </c>
      <c r="L1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4" s="38" t="str">
        <f ca="1">IF(analysis_table[is_well_empy], "", VLOOKUP(analysis_table[test_result_auto],result_symbols_auto,2,FALSE))</f>
        <v/>
      </c>
      <c r="O14" s="96"/>
      <c r="P14" s="38" t="b">
        <f>analysis_table[user_result]&lt;&gt; ""</f>
        <v>0</v>
      </c>
      <c r="Q14" s="38" t="str">
        <f>IF(analysis_table[test_status], IF(analysis_table[user_result]="CORRETTO", analysis_table[test_symbol_auto], VLOOKUP(analysis_table[user_result],result_symbols,2,FALSE)), "")</f>
        <v/>
      </c>
      <c r="R14" s="38" t="str">
        <f t="array" aca="1" ref="R1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4" s="38" t="b">
        <f ca="1">IF(OR(analysis_table[is_well_empy]=TRUE, analysis_table[final_result]=""), FALSE, VLOOKUP(analysis_table[final_result],is_result_to_send,2,FALSE))</f>
        <v>0</v>
      </c>
      <c r="T1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4" s="38" t="str">
        <f t="array" aca="1" ref="U1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4" s="38" t="s">
        <v>389</v>
      </c>
      <c r="W14" s="38">
        <v>1</v>
      </c>
    </row>
    <row r="15" spans="1:23" x14ac:dyDescent="0.15">
      <c r="A15" s="3" t="s">
        <v>199</v>
      </c>
      <c r="B15" s="3" t="str">
        <f>MID(analysis_table[well_no_zero],1,1) &amp; IF(VALUE(MID(analysis_table[well_no_zero],2,2)) &lt; 10, "0", "") &amp; MID(analysis_table[well_no_zero],2,2)</f>
        <v>B02</v>
      </c>
      <c r="C15" s="3" t="str">
        <f>IF('Layout piastra'!$B$2 &lt;&gt; "", 'Layout piastra'!$B$2, "")</f>
        <v/>
      </c>
      <c r="D1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5" s="3" t="str">
        <f>VLOOKUP(_xlfn.NUMBERVALUE(MID(analysis_table[well_no_zero], 2, 2)), column_to_batch, 2, FALSE)</f>
        <v>A</v>
      </c>
      <c r="F15" s="11" t="str">
        <f t="array" ref="F1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5" s="11" t="str">
        <f t="array" ref="G1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5" s="11" t="str">
        <f t="array" ref="H1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5" s="11" t="b">
        <f>NOT(ISNA(VLOOKUP(analysis_table[well_no_zero],control_wells,2,FALSE)))</f>
        <v>0</v>
      </c>
      <c r="K15" s="11" t="str">
        <f>_xlfn.IFNA(VLOOKUP(analysis_table[well_no_zero],control_wells,2,FALSE), "No")</f>
        <v>No</v>
      </c>
      <c r="L1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5" s="38" t="str">
        <f ca="1">IF(analysis_table[is_well_empy], "", VLOOKUP(analysis_table[test_result_auto],result_symbols_auto,2,FALSE))</f>
        <v/>
      </c>
      <c r="O15" s="96"/>
      <c r="P15" s="38" t="b">
        <f>analysis_table[user_result]&lt;&gt; ""</f>
        <v>0</v>
      </c>
      <c r="Q15" s="38" t="str">
        <f>IF(analysis_table[test_status], IF(analysis_table[user_result]="CORRETTO", analysis_table[test_symbol_auto], VLOOKUP(analysis_table[user_result],result_symbols,2,FALSE)), "")</f>
        <v/>
      </c>
      <c r="R15" s="38" t="str">
        <f t="array" aca="1" ref="R1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5" s="38" t="b">
        <f ca="1">IF(OR(analysis_table[is_well_empy]=TRUE, analysis_table[final_result]=""), FALSE, VLOOKUP(analysis_table[final_result],is_result_to_send,2,FALSE))</f>
        <v>0</v>
      </c>
      <c r="T1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5" s="38" t="str">
        <f t="array" aca="1" ref="U1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5" s="38" t="s">
        <v>389</v>
      </c>
      <c r="W15" s="38">
        <v>1</v>
      </c>
    </row>
    <row r="16" spans="1:23" x14ac:dyDescent="0.15">
      <c r="A16" s="3" t="s">
        <v>200</v>
      </c>
      <c r="B16" s="3" t="str">
        <f>MID(analysis_table[well_no_zero],1,1) &amp; IF(VALUE(MID(analysis_table[well_no_zero],2,2)) &lt; 10, "0", "") &amp; MID(analysis_table[well_no_zero],2,2)</f>
        <v>B03</v>
      </c>
      <c r="C16" s="3" t="str">
        <f>IF('Layout piastra'!$B$2 &lt;&gt; "", 'Layout piastra'!$B$2, "")</f>
        <v/>
      </c>
      <c r="D1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6" s="3" t="str">
        <f>VLOOKUP(_xlfn.NUMBERVALUE(MID(analysis_table[well_no_zero], 2, 2)), column_to_batch, 2, FALSE)</f>
        <v>A</v>
      </c>
      <c r="F16" s="11" t="str">
        <f t="array" ref="F1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6" s="11" t="str">
        <f t="array" ref="G1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6" s="11" t="str">
        <f t="array" ref="H1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6" s="11" t="b">
        <f>NOT(ISNA(VLOOKUP(analysis_table[well_no_zero],control_wells,2,FALSE)))</f>
        <v>0</v>
      </c>
      <c r="K16" s="11" t="str">
        <f>_xlfn.IFNA(VLOOKUP(analysis_table[well_no_zero],control_wells,2,FALSE), "No")</f>
        <v>No</v>
      </c>
      <c r="L1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6" s="38" t="str">
        <f ca="1">IF(analysis_table[is_well_empy], "", VLOOKUP(analysis_table[test_result_auto],result_symbols_auto,2,FALSE))</f>
        <v/>
      </c>
      <c r="O16" s="96"/>
      <c r="P16" s="38" t="b">
        <f>analysis_table[user_result]&lt;&gt; ""</f>
        <v>0</v>
      </c>
      <c r="Q16" s="38" t="str">
        <f>IF(analysis_table[test_status], IF(analysis_table[user_result]="CORRETTO", analysis_table[test_symbol_auto], VLOOKUP(analysis_table[user_result],result_symbols,2,FALSE)), "")</f>
        <v/>
      </c>
      <c r="R16" s="38" t="str">
        <f t="array" aca="1" ref="R1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6" s="38" t="b">
        <f ca="1">IF(OR(analysis_table[is_well_empy]=TRUE, analysis_table[final_result]=""), FALSE, VLOOKUP(analysis_table[final_result],is_result_to_send,2,FALSE))</f>
        <v>0</v>
      </c>
      <c r="T1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6" s="38" t="str">
        <f t="array" aca="1" ref="U1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6" s="38" t="s">
        <v>389</v>
      </c>
      <c r="W16" s="38">
        <v>1</v>
      </c>
    </row>
    <row r="17" spans="1:23" x14ac:dyDescent="0.15">
      <c r="A17" s="3" t="s">
        <v>201</v>
      </c>
      <c r="B17" s="3" t="str">
        <f>MID(analysis_table[well_no_zero],1,1) &amp; IF(VALUE(MID(analysis_table[well_no_zero],2,2)) &lt; 10, "0", "") &amp; MID(analysis_table[well_no_zero],2,2)</f>
        <v>B04</v>
      </c>
      <c r="C17" s="3" t="str">
        <f>IF('Layout piastra'!$B$2 &lt;&gt; "", 'Layout piastra'!$B$2, "")</f>
        <v/>
      </c>
      <c r="D1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7" s="3" t="str">
        <f>VLOOKUP(_xlfn.NUMBERVALUE(MID(analysis_table[well_no_zero], 2, 2)), column_to_batch, 2, FALSE)</f>
        <v>A</v>
      </c>
      <c r="F17" s="11" t="str">
        <f t="array" ref="F1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7" s="11" t="str">
        <f t="array" ref="G1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7" s="11" t="str">
        <f t="array" ref="H1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7" s="11" t="b">
        <f>NOT(ISNA(VLOOKUP(analysis_table[well_no_zero],control_wells,2,FALSE)))</f>
        <v>0</v>
      </c>
      <c r="K17" s="11" t="str">
        <f>_xlfn.IFNA(VLOOKUP(analysis_table[well_no_zero],control_wells,2,FALSE), "No")</f>
        <v>No</v>
      </c>
      <c r="L1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7" s="38" t="str">
        <f ca="1">IF(analysis_table[is_well_empy], "", VLOOKUP(analysis_table[test_result_auto],result_symbols_auto,2,FALSE))</f>
        <v/>
      </c>
      <c r="O17" s="96"/>
      <c r="P17" s="38" t="b">
        <f>analysis_table[user_result]&lt;&gt; ""</f>
        <v>0</v>
      </c>
      <c r="Q17" s="38" t="str">
        <f>IF(analysis_table[test_status], IF(analysis_table[user_result]="CORRETTO", analysis_table[test_symbol_auto], VLOOKUP(analysis_table[user_result],result_symbols,2,FALSE)), "")</f>
        <v/>
      </c>
      <c r="R17" s="38" t="str">
        <f t="array" aca="1" ref="R1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7" s="38" t="b">
        <f ca="1">IF(OR(analysis_table[is_well_empy]=TRUE, analysis_table[final_result]=""), FALSE, VLOOKUP(analysis_table[final_result],is_result_to_send,2,FALSE))</f>
        <v>0</v>
      </c>
      <c r="T1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7" s="38" t="str">
        <f t="array" aca="1" ref="U1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7" s="38" t="s">
        <v>389</v>
      </c>
      <c r="W17" s="38">
        <v>1</v>
      </c>
    </row>
    <row r="18" spans="1:23" x14ac:dyDescent="0.15">
      <c r="A18" s="3" t="s">
        <v>202</v>
      </c>
      <c r="B18" s="3" t="str">
        <f>MID(analysis_table[well_no_zero],1,1) &amp; IF(VALUE(MID(analysis_table[well_no_zero],2,2)) &lt; 10, "0", "") &amp; MID(analysis_table[well_no_zero],2,2)</f>
        <v>B05</v>
      </c>
      <c r="C18" s="3" t="str">
        <f>IF('Layout piastra'!$B$2 &lt;&gt; "", 'Layout piastra'!$B$2, "")</f>
        <v/>
      </c>
      <c r="D1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8" s="3" t="str">
        <f>VLOOKUP(_xlfn.NUMBERVALUE(MID(analysis_table[well_no_zero], 2, 2)), column_to_batch, 2, FALSE)</f>
        <v>B</v>
      </c>
      <c r="F18" s="11" t="str">
        <f t="array" ref="F1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8" s="11" t="str">
        <f t="array" ref="G1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8" s="11" t="str">
        <f t="array" ref="H1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8" s="11" t="b">
        <f>NOT(ISNA(VLOOKUP(analysis_table[well_no_zero],control_wells,2,FALSE)))</f>
        <v>0</v>
      </c>
      <c r="K18" s="11" t="str">
        <f>_xlfn.IFNA(VLOOKUP(analysis_table[well_no_zero],control_wells,2,FALSE), "No")</f>
        <v>No</v>
      </c>
      <c r="L1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8" s="38" t="str">
        <f ca="1">IF(analysis_table[is_well_empy], "", VLOOKUP(analysis_table[test_result_auto],result_symbols_auto,2,FALSE))</f>
        <v/>
      </c>
      <c r="O18" s="96"/>
      <c r="P18" s="38" t="b">
        <f>analysis_table[user_result]&lt;&gt; ""</f>
        <v>0</v>
      </c>
      <c r="Q18" s="38" t="str">
        <f>IF(analysis_table[test_status], IF(analysis_table[user_result]="CORRETTO", analysis_table[test_symbol_auto], VLOOKUP(analysis_table[user_result],result_symbols,2,FALSE)), "")</f>
        <v/>
      </c>
      <c r="R18" s="38" t="str">
        <f t="array" aca="1" ref="R1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8" s="38" t="b">
        <f ca="1">IF(OR(analysis_table[is_well_empy]=TRUE, analysis_table[final_result]=""), FALSE, VLOOKUP(analysis_table[final_result],is_result_to_send,2,FALSE))</f>
        <v>0</v>
      </c>
      <c r="T1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8" s="38" t="str">
        <f t="array" aca="1" ref="U1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8" s="38" t="s">
        <v>389</v>
      </c>
      <c r="W18" s="38">
        <v>1</v>
      </c>
    </row>
    <row r="19" spans="1:23" x14ac:dyDescent="0.15">
      <c r="A19" s="3" t="s">
        <v>203</v>
      </c>
      <c r="B19" s="3" t="str">
        <f>MID(analysis_table[well_no_zero],1,1) &amp; IF(VALUE(MID(analysis_table[well_no_zero],2,2)) &lt; 10, "0", "") &amp; MID(analysis_table[well_no_zero],2,2)</f>
        <v>B06</v>
      </c>
      <c r="C19" s="3" t="str">
        <f>IF('Layout piastra'!$B$2 &lt;&gt; "", 'Layout piastra'!$B$2, "")</f>
        <v/>
      </c>
      <c r="D1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19" s="3" t="str">
        <f>VLOOKUP(_xlfn.NUMBERVALUE(MID(analysis_table[well_no_zero], 2, 2)), column_to_batch, 2, FALSE)</f>
        <v>B</v>
      </c>
      <c r="F19" s="11" t="str">
        <f t="array" ref="F1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19" s="11" t="str">
        <f t="array" ref="G1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19" s="11" t="str">
        <f t="array" ref="H1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1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19" s="11" t="b">
        <f>NOT(ISNA(VLOOKUP(analysis_table[well_no_zero],control_wells,2,FALSE)))</f>
        <v>0</v>
      </c>
      <c r="K19" s="11" t="str">
        <f>_xlfn.IFNA(VLOOKUP(analysis_table[well_no_zero],control_wells,2,FALSE), "No")</f>
        <v>No</v>
      </c>
      <c r="L1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1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19" s="38" t="str">
        <f ca="1">IF(analysis_table[is_well_empy], "", VLOOKUP(analysis_table[test_result_auto],result_symbols_auto,2,FALSE))</f>
        <v/>
      </c>
      <c r="O19" s="96"/>
      <c r="P19" s="38" t="b">
        <f>analysis_table[user_result]&lt;&gt; ""</f>
        <v>0</v>
      </c>
      <c r="Q19" s="38" t="str">
        <f>IF(analysis_table[test_status], IF(analysis_table[user_result]="CORRETTO", analysis_table[test_symbol_auto], VLOOKUP(analysis_table[user_result],result_symbols,2,FALSE)), "")</f>
        <v/>
      </c>
      <c r="R19" s="38" t="str">
        <f t="array" aca="1" ref="R1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19" s="38" t="b">
        <f ca="1">IF(OR(analysis_table[is_well_empy]=TRUE, analysis_table[final_result]=""), FALSE, VLOOKUP(analysis_table[final_result],is_result_to_send,2,FALSE))</f>
        <v>0</v>
      </c>
      <c r="T1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19" s="38" t="str">
        <f t="array" aca="1" ref="U1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19" s="38" t="s">
        <v>389</v>
      </c>
      <c r="W19" s="38">
        <v>1</v>
      </c>
    </row>
    <row r="20" spans="1:23" x14ac:dyDescent="0.15">
      <c r="A20" s="3" t="s">
        <v>204</v>
      </c>
      <c r="B20" s="3" t="str">
        <f>MID(analysis_table[well_no_zero],1,1) &amp; IF(VALUE(MID(analysis_table[well_no_zero],2,2)) &lt; 10, "0", "") &amp; MID(analysis_table[well_no_zero],2,2)</f>
        <v>B07</v>
      </c>
      <c r="C20" s="3" t="str">
        <f>IF('Layout piastra'!$B$2 &lt;&gt; "", 'Layout piastra'!$B$2, "")</f>
        <v/>
      </c>
      <c r="D2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0" s="3" t="str">
        <f>VLOOKUP(_xlfn.NUMBERVALUE(MID(analysis_table[well_no_zero], 2, 2)), column_to_batch, 2, FALSE)</f>
        <v>B</v>
      </c>
      <c r="F20" s="11" t="str">
        <f t="array" ref="F2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0" s="11" t="str">
        <f t="array" ref="G2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0" s="11" t="str">
        <f t="array" ref="H2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0" s="11" t="b">
        <f>NOT(ISNA(VLOOKUP(analysis_table[well_no_zero],control_wells,2,FALSE)))</f>
        <v>0</v>
      </c>
      <c r="K20" s="11" t="str">
        <f>_xlfn.IFNA(VLOOKUP(analysis_table[well_no_zero],control_wells,2,FALSE), "No")</f>
        <v>No</v>
      </c>
      <c r="L2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0" s="38" t="str">
        <f ca="1">IF(analysis_table[is_well_empy], "", VLOOKUP(analysis_table[test_result_auto],result_symbols_auto,2,FALSE))</f>
        <v/>
      </c>
      <c r="O20" s="96"/>
      <c r="P20" s="38" t="b">
        <f>analysis_table[user_result]&lt;&gt; ""</f>
        <v>0</v>
      </c>
      <c r="Q20" s="38" t="str">
        <f>IF(analysis_table[test_status], IF(analysis_table[user_result]="CORRETTO", analysis_table[test_symbol_auto], VLOOKUP(analysis_table[user_result],result_symbols,2,FALSE)), "")</f>
        <v/>
      </c>
      <c r="R20" s="38" t="str">
        <f t="array" aca="1" ref="R2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0" s="38" t="b">
        <f ca="1">IF(OR(analysis_table[is_well_empy]=TRUE, analysis_table[final_result]=""), FALSE, VLOOKUP(analysis_table[final_result],is_result_to_send,2,FALSE))</f>
        <v>0</v>
      </c>
      <c r="T2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0" s="38" t="str">
        <f t="array" aca="1" ref="U2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0" s="38" t="s">
        <v>389</v>
      </c>
      <c r="W20" s="38">
        <v>1</v>
      </c>
    </row>
    <row r="21" spans="1:23" x14ac:dyDescent="0.15">
      <c r="A21" s="3" t="s">
        <v>205</v>
      </c>
      <c r="B21" s="3" t="str">
        <f>MID(analysis_table[well_no_zero],1,1) &amp; IF(VALUE(MID(analysis_table[well_no_zero],2,2)) &lt; 10, "0", "") &amp; MID(analysis_table[well_no_zero],2,2)</f>
        <v>B08</v>
      </c>
      <c r="C21" s="3" t="str">
        <f>IF('Layout piastra'!$B$2 &lt;&gt; "", 'Layout piastra'!$B$2, "")</f>
        <v/>
      </c>
      <c r="D2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1" s="3" t="str">
        <f>VLOOKUP(_xlfn.NUMBERVALUE(MID(analysis_table[well_no_zero], 2, 2)), column_to_batch, 2, FALSE)</f>
        <v>B</v>
      </c>
      <c r="F21" s="11" t="str">
        <f t="array" ref="F2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1" s="11" t="str">
        <f t="array" ref="G2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1" s="11" t="str">
        <f t="array" ref="H2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1" s="11" t="b">
        <f>NOT(ISNA(VLOOKUP(analysis_table[well_no_zero],control_wells,2,FALSE)))</f>
        <v>0</v>
      </c>
      <c r="K21" s="11" t="str">
        <f>_xlfn.IFNA(VLOOKUP(analysis_table[well_no_zero],control_wells,2,FALSE), "No")</f>
        <v>No</v>
      </c>
      <c r="L2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1" s="38" t="str">
        <f ca="1">IF(analysis_table[is_well_empy], "", VLOOKUP(analysis_table[test_result_auto],result_symbols_auto,2,FALSE))</f>
        <v/>
      </c>
      <c r="O21" s="96"/>
      <c r="P21" s="38" t="b">
        <f>analysis_table[user_result]&lt;&gt; ""</f>
        <v>0</v>
      </c>
      <c r="Q21" s="38" t="str">
        <f>IF(analysis_table[test_status], IF(analysis_table[user_result]="CORRETTO", analysis_table[test_symbol_auto], VLOOKUP(analysis_table[user_result],result_symbols,2,FALSE)), "")</f>
        <v/>
      </c>
      <c r="R21" s="38" t="str">
        <f t="array" aca="1" ref="R2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1" s="38" t="b">
        <f ca="1">IF(OR(analysis_table[is_well_empy]=TRUE, analysis_table[final_result]=""), FALSE, VLOOKUP(analysis_table[final_result],is_result_to_send,2,FALSE))</f>
        <v>0</v>
      </c>
      <c r="T2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1" s="38" t="str">
        <f t="array" aca="1" ref="U2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1" s="38" t="s">
        <v>389</v>
      </c>
      <c r="W21" s="38">
        <v>1</v>
      </c>
    </row>
    <row r="22" spans="1:23" x14ac:dyDescent="0.15">
      <c r="A22" s="3" t="s">
        <v>206</v>
      </c>
      <c r="B22" s="3" t="str">
        <f>MID(analysis_table[well_no_zero],1,1) &amp; IF(VALUE(MID(analysis_table[well_no_zero],2,2)) &lt; 10, "0", "") &amp; MID(analysis_table[well_no_zero],2,2)</f>
        <v>B09</v>
      </c>
      <c r="C22" s="3" t="str">
        <f>IF('Layout piastra'!$B$2 &lt;&gt; "", 'Layout piastra'!$B$2, "")</f>
        <v/>
      </c>
      <c r="D2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2" s="3" t="str">
        <f>VLOOKUP(_xlfn.NUMBERVALUE(MID(analysis_table[well_no_zero], 2, 2)), column_to_batch, 2, FALSE)</f>
        <v>C</v>
      </c>
      <c r="F22" s="11" t="str">
        <f t="array" ref="F2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2" s="11" t="str">
        <f t="array" ref="G2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2" s="11" t="str">
        <f t="array" ref="H2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2" s="11" t="b">
        <f>NOT(ISNA(VLOOKUP(analysis_table[well_no_zero],control_wells,2,FALSE)))</f>
        <v>0</v>
      </c>
      <c r="K22" s="11" t="str">
        <f>_xlfn.IFNA(VLOOKUP(analysis_table[well_no_zero],control_wells,2,FALSE), "No")</f>
        <v>No</v>
      </c>
      <c r="L2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2" s="38" t="str">
        <f ca="1">IF(analysis_table[is_well_empy], "", VLOOKUP(analysis_table[test_result_auto],result_symbols_auto,2,FALSE))</f>
        <v/>
      </c>
      <c r="O22" s="96"/>
      <c r="P22" s="38" t="b">
        <f>analysis_table[user_result]&lt;&gt; ""</f>
        <v>0</v>
      </c>
      <c r="Q22" s="38" t="str">
        <f>IF(analysis_table[test_status], IF(analysis_table[user_result]="CORRETTO", analysis_table[test_symbol_auto], VLOOKUP(analysis_table[user_result],result_symbols,2,FALSE)), "")</f>
        <v/>
      </c>
      <c r="R22" s="38" t="str">
        <f t="array" aca="1" ref="R2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2" s="38" t="b">
        <f ca="1">IF(OR(analysis_table[is_well_empy]=TRUE, analysis_table[final_result]=""), FALSE, VLOOKUP(analysis_table[final_result],is_result_to_send,2,FALSE))</f>
        <v>0</v>
      </c>
      <c r="T2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2" s="38" t="str">
        <f t="array" aca="1" ref="U2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2" s="38" t="s">
        <v>389</v>
      </c>
      <c r="W22" s="38">
        <v>1</v>
      </c>
    </row>
    <row r="23" spans="1:23" x14ac:dyDescent="0.15">
      <c r="A23" s="3" t="s">
        <v>138</v>
      </c>
      <c r="B23" s="3" t="str">
        <f>MID(analysis_table[well_no_zero],1,1) &amp; IF(VALUE(MID(analysis_table[well_no_zero],2,2)) &lt; 10, "0", "") &amp; MID(analysis_table[well_no_zero],2,2)</f>
        <v>B10</v>
      </c>
      <c r="C23" s="3" t="str">
        <f>IF('Layout piastra'!$B$2 &lt;&gt; "", 'Layout piastra'!$B$2, "")</f>
        <v/>
      </c>
      <c r="D2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3" s="3" t="str">
        <f>VLOOKUP(_xlfn.NUMBERVALUE(MID(analysis_table[well_no_zero], 2, 2)), column_to_batch, 2, FALSE)</f>
        <v>C</v>
      </c>
      <c r="F23" s="11" t="str">
        <f t="array" ref="F2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3" s="11" t="str">
        <f t="array" ref="G2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3" s="11" t="str">
        <f t="array" ref="H2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3" s="11" t="b">
        <f>NOT(ISNA(VLOOKUP(analysis_table[well_no_zero],control_wells,2,FALSE)))</f>
        <v>0</v>
      </c>
      <c r="K23" s="11" t="str">
        <f>_xlfn.IFNA(VLOOKUP(analysis_table[well_no_zero],control_wells,2,FALSE), "No")</f>
        <v>No</v>
      </c>
      <c r="L2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3" s="38" t="str">
        <f ca="1">IF(analysis_table[is_well_empy], "", VLOOKUP(analysis_table[test_result_auto],result_symbols_auto,2,FALSE))</f>
        <v/>
      </c>
      <c r="O23" s="96"/>
      <c r="P23" s="38" t="b">
        <f>analysis_table[user_result]&lt;&gt; ""</f>
        <v>0</v>
      </c>
      <c r="Q23" s="38" t="str">
        <f>IF(analysis_table[test_status], IF(analysis_table[user_result]="CORRETTO", analysis_table[test_symbol_auto], VLOOKUP(analysis_table[user_result],result_symbols,2,FALSE)), "")</f>
        <v/>
      </c>
      <c r="R23" s="38" t="str">
        <f t="array" aca="1" ref="R2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3" s="38" t="b">
        <f ca="1">IF(OR(analysis_table[is_well_empy]=TRUE, analysis_table[final_result]=""), FALSE, VLOOKUP(analysis_table[final_result],is_result_to_send,2,FALSE))</f>
        <v>0</v>
      </c>
      <c r="T2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3" s="38" t="str">
        <f t="array" aca="1" ref="U2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3" s="38" t="s">
        <v>389</v>
      </c>
      <c r="W23" s="38">
        <v>1</v>
      </c>
    </row>
    <row r="24" spans="1:23" x14ac:dyDescent="0.15">
      <c r="A24" s="3" t="s">
        <v>146</v>
      </c>
      <c r="B24" s="3" t="str">
        <f>MID(analysis_table[well_no_zero],1,1) &amp; IF(VALUE(MID(analysis_table[well_no_zero],2,2)) &lt; 10, "0", "") &amp; MID(analysis_table[well_no_zero],2,2)</f>
        <v>B11</v>
      </c>
      <c r="C24" s="3" t="str">
        <f>IF('Layout piastra'!$B$2 &lt;&gt; "", 'Layout piastra'!$B$2, "")</f>
        <v/>
      </c>
      <c r="D2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4" s="3" t="str">
        <f>VLOOKUP(_xlfn.NUMBERVALUE(MID(analysis_table[well_no_zero], 2, 2)), column_to_batch, 2, FALSE)</f>
        <v>C</v>
      </c>
      <c r="F24" s="11" t="str">
        <f t="array" ref="F2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4" s="11" t="str">
        <f t="array" ref="G2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4" s="11" t="str">
        <f t="array" ref="H2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4" s="11" t="b">
        <f>NOT(ISNA(VLOOKUP(analysis_table[well_no_zero],control_wells,2,FALSE)))</f>
        <v>0</v>
      </c>
      <c r="K24" s="11" t="str">
        <f>_xlfn.IFNA(VLOOKUP(analysis_table[well_no_zero],control_wells,2,FALSE), "No")</f>
        <v>No</v>
      </c>
      <c r="L2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4" s="38" t="str">
        <f ca="1">IF(analysis_table[is_well_empy], "", VLOOKUP(analysis_table[test_result_auto],result_symbols_auto,2,FALSE))</f>
        <v/>
      </c>
      <c r="O24" s="96"/>
      <c r="P24" s="38" t="b">
        <f>analysis_table[user_result]&lt;&gt; ""</f>
        <v>0</v>
      </c>
      <c r="Q24" s="38" t="str">
        <f>IF(analysis_table[test_status], IF(analysis_table[user_result]="CORRETTO", analysis_table[test_symbol_auto], VLOOKUP(analysis_table[user_result],result_symbols,2,FALSE)), "")</f>
        <v/>
      </c>
      <c r="R24" s="38" t="str">
        <f t="array" aca="1" ref="R2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4" s="38" t="b">
        <f ca="1">IF(OR(analysis_table[is_well_empy]=TRUE, analysis_table[final_result]=""), FALSE, VLOOKUP(analysis_table[final_result],is_result_to_send,2,FALSE))</f>
        <v>0</v>
      </c>
      <c r="T2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4" s="38" t="str">
        <f t="array" aca="1" ref="U2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4" s="38" t="s">
        <v>389</v>
      </c>
      <c r="W24" s="38">
        <v>1</v>
      </c>
    </row>
    <row r="25" spans="1:23" x14ac:dyDescent="0.15">
      <c r="A25" s="3" t="s">
        <v>154</v>
      </c>
      <c r="B25" s="3" t="str">
        <f>MID(analysis_table[well_no_zero],1,1) &amp; IF(VALUE(MID(analysis_table[well_no_zero],2,2)) &lt; 10, "0", "") &amp; MID(analysis_table[well_no_zero],2,2)</f>
        <v>B12</v>
      </c>
      <c r="C25" s="3" t="str">
        <f>IF('Layout piastra'!$B$2 &lt;&gt; "", 'Layout piastra'!$B$2, "")</f>
        <v/>
      </c>
      <c r="D2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5" s="3" t="str">
        <f>VLOOKUP(_xlfn.NUMBERVALUE(MID(analysis_table[well_no_zero], 2, 2)), column_to_batch, 2, FALSE)</f>
        <v>C</v>
      </c>
      <c r="F25" s="11" t="str">
        <f t="array" ref="F2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5" s="11" t="str">
        <f t="array" ref="G2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5" s="11" t="str">
        <f t="array" ref="H2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5" s="11" t="b">
        <f>NOT(ISNA(VLOOKUP(analysis_table[well_no_zero],control_wells,2,FALSE)))</f>
        <v>0</v>
      </c>
      <c r="K25" s="11" t="str">
        <f>_xlfn.IFNA(VLOOKUP(analysis_table[well_no_zero],control_wells,2,FALSE), "No")</f>
        <v>No</v>
      </c>
      <c r="L2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5" s="38" t="str">
        <f ca="1">IF(analysis_table[is_well_empy], "", VLOOKUP(analysis_table[test_result_auto],result_symbols_auto,2,FALSE))</f>
        <v/>
      </c>
      <c r="O25" s="96"/>
      <c r="P25" s="38" t="b">
        <f>analysis_table[user_result]&lt;&gt; ""</f>
        <v>0</v>
      </c>
      <c r="Q25" s="38" t="str">
        <f>IF(analysis_table[test_status], IF(analysis_table[user_result]="CORRETTO", analysis_table[test_symbol_auto], VLOOKUP(analysis_table[user_result],result_symbols,2,FALSE)), "")</f>
        <v/>
      </c>
      <c r="R25" s="38" t="str">
        <f t="array" aca="1" ref="R2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5" s="38" t="b">
        <f ca="1">IF(OR(analysis_table[is_well_empy]=TRUE, analysis_table[final_result]=""), FALSE, VLOOKUP(analysis_table[final_result],is_result_to_send,2,FALSE))</f>
        <v>0</v>
      </c>
      <c r="T2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5" s="38" t="str">
        <f t="array" aca="1" ref="U2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5" s="38" t="s">
        <v>389</v>
      </c>
      <c r="W25" s="38">
        <v>1</v>
      </c>
    </row>
    <row r="26" spans="1:23" x14ac:dyDescent="0.15">
      <c r="A26" s="3" t="s">
        <v>207</v>
      </c>
      <c r="B26" s="3" t="str">
        <f>MID(analysis_table[well_no_zero],1,1) &amp; IF(VALUE(MID(analysis_table[well_no_zero],2,2)) &lt; 10, "0", "") &amp; MID(analysis_table[well_no_zero],2,2)</f>
        <v>C01</v>
      </c>
      <c r="C26" s="3" t="str">
        <f>IF('Layout piastra'!$B$2 &lt;&gt; "", 'Layout piastra'!$B$2, "")</f>
        <v/>
      </c>
      <c r="D2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6" s="3" t="str">
        <f>VLOOKUP(_xlfn.NUMBERVALUE(MID(analysis_table[well_no_zero], 2, 2)), column_to_batch, 2, FALSE)</f>
        <v>A</v>
      </c>
      <c r="F26" s="11" t="str">
        <f t="array" ref="F2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6" s="11" t="str">
        <f t="array" ref="G2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6" s="11" t="str">
        <f t="array" ref="H2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6" s="11" t="b">
        <f>NOT(ISNA(VLOOKUP(analysis_table[well_no_zero],control_wells,2,FALSE)))</f>
        <v>0</v>
      </c>
      <c r="K26" s="11" t="str">
        <f>_xlfn.IFNA(VLOOKUP(analysis_table[well_no_zero],control_wells,2,FALSE), "No")</f>
        <v>No</v>
      </c>
      <c r="L2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6" s="38" t="str">
        <f ca="1">IF(analysis_table[is_well_empy], "", VLOOKUP(analysis_table[test_result_auto],result_symbols_auto,2,FALSE))</f>
        <v/>
      </c>
      <c r="O26" s="96"/>
      <c r="P26" s="38" t="b">
        <f>analysis_table[user_result]&lt;&gt; ""</f>
        <v>0</v>
      </c>
      <c r="Q26" s="38" t="str">
        <f>IF(analysis_table[test_status], IF(analysis_table[user_result]="CORRETTO", analysis_table[test_symbol_auto], VLOOKUP(analysis_table[user_result],result_symbols,2,FALSE)), "")</f>
        <v/>
      </c>
      <c r="R26" s="38" t="str">
        <f t="array" aca="1" ref="R2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6" s="38" t="b">
        <f ca="1">IF(OR(analysis_table[is_well_empy]=TRUE, analysis_table[final_result]=""), FALSE, VLOOKUP(analysis_table[final_result],is_result_to_send,2,FALSE))</f>
        <v>0</v>
      </c>
      <c r="T2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6" s="38" t="str">
        <f t="array" aca="1" ref="U2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6" s="38" t="s">
        <v>389</v>
      </c>
      <c r="W26" s="38">
        <v>1</v>
      </c>
    </row>
    <row r="27" spans="1:23" x14ac:dyDescent="0.15">
      <c r="A27" s="3" t="s">
        <v>208</v>
      </c>
      <c r="B27" s="3" t="str">
        <f>MID(analysis_table[well_no_zero],1,1) &amp; IF(VALUE(MID(analysis_table[well_no_zero],2,2)) &lt; 10, "0", "") &amp; MID(analysis_table[well_no_zero],2,2)</f>
        <v>C02</v>
      </c>
      <c r="C27" s="3" t="str">
        <f>IF('Layout piastra'!$B$2 &lt;&gt; "", 'Layout piastra'!$B$2, "")</f>
        <v/>
      </c>
      <c r="D2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7" s="3" t="str">
        <f>VLOOKUP(_xlfn.NUMBERVALUE(MID(analysis_table[well_no_zero], 2, 2)), column_to_batch, 2, FALSE)</f>
        <v>A</v>
      </c>
      <c r="F27" s="11" t="str">
        <f t="array" ref="F2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7" s="11" t="str">
        <f t="array" ref="G2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7" s="11" t="str">
        <f t="array" ref="H2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7" s="11" t="b">
        <f>NOT(ISNA(VLOOKUP(analysis_table[well_no_zero],control_wells,2,FALSE)))</f>
        <v>0</v>
      </c>
      <c r="K27" s="11" t="str">
        <f>_xlfn.IFNA(VLOOKUP(analysis_table[well_no_zero],control_wells,2,FALSE), "No")</f>
        <v>No</v>
      </c>
      <c r="L2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7" s="38" t="str">
        <f ca="1">IF(analysis_table[is_well_empy], "", VLOOKUP(analysis_table[test_result_auto],result_symbols_auto,2,FALSE))</f>
        <v/>
      </c>
      <c r="O27" s="96"/>
      <c r="P27" s="38" t="b">
        <f>analysis_table[user_result]&lt;&gt; ""</f>
        <v>0</v>
      </c>
      <c r="Q27" s="38" t="str">
        <f>IF(analysis_table[test_status], IF(analysis_table[user_result]="CORRETTO", analysis_table[test_symbol_auto], VLOOKUP(analysis_table[user_result],result_symbols,2,FALSE)), "")</f>
        <v/>
      </c>
      <c r="R27" s="38" t="str">
        <f t="array" aca="1" ref="R2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7" s="38" t="b">
        <f ca="1">IF(OR(analysis_table[is_well_empy]=TRUE, analysis_table[final_result]=""), FALSE, VLOOKUP(analysis_table[final_result],is_result_to_send,2,FALSE))</f>
        <v>0</v>
      </c>
      <c r="T2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7" s="38" t="str">
        <f t="array" aca="1" ref="U2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7" s="38" t="s">
        <v>389</v>
      </c>
      <c r="W27" s="38">
        <v>1</v>
      </c>
    </row>
    <row r="28" spans="1:23" x14ac:dyDescent="0.15">
      <c r="A28" s="3" t="s">
        <v>209</v>
      </c>
      <c r="B28" s="3" t="str">
        <f>MID(analysis_table[well_no_zero],1,1) &amp; IF(VALUE(MID(analysis_table[well_no_zero],2,2)) &lt; 10, "0", "") &amp; MID(analysis_table[well_no_zero],2,2)</f>
        <v>C03</v>
      </c>
      <c r="C28" s="3" t="str">
        <f>IF('Layout piastra'!$B$2 &lt;&gt; "", 'Layout piastra'!$B$2, "")</f>
        <v/>
      </c>
      <c r="D2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8" s="3" t="str">
        <f>VLOOKUP(_xlfn.NUMBERVALUE(MID(analysis_table[well_no_zero], 2, 2)), column_to_batch, 2, FALSE)</f>
        <v>A</v>
      </c>
      <c r="F28" s="11" t="str">
        <f t="array" ref="F2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8" s="11" t="str">
        <f t="array" ref="G2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8" s="11" t="str">
        <f t="array" ref="H2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8" s="11" t="b">
        <f>NOT(ISNA(VLOOKUP(analysis_table[well_no_zero],control_wells,2,FALSE)))</f>
        <v>0</v>
      </c>
      <c r="K28" s="11" t="str">
        <f>_xlfn.IFNA(VLOOKUP(analysis_table[well_no_zero],control_wells,2,FALSE), "No")</f>
        <v>No</v>
      </c>
      <c r="L2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8" s="38" t="str">
        <f ca="1">IF(analysis_table[is_well_empy], "", VLOOKUP(analysis_table[test_result_auto],result_symbols_auto,2,FALSE))</f>
        <v/>
      </c>
      <c r="O28" s="96"/>
      <c r="P28" s="38" t="b">
        <f>analysis_table[user_result]&lt;&gt; ""</f>
        <v>0</v>
      </c>
      <c r="Q28" s="38" t="str">
        <f>IF(analysis_table[test_status], IF(analysis_table[user_result]="CORRETTO", analysis_table[test_symbol_auto], VLOOKUP(analysis_table[user_result],result_symbols,2,FALSE)), "")</f>
        <v/>
      </c>
      <c r="R28" s="38" t="str">
        <f t="array" aca="1" ref="R2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8" s="38" t="b">
        <f ca="1">IF(OR(analysis_table[is_well_empy]=TRUE, analysis_table[final_result]=""), FALSE, VLOOKUP(analysis_table[final_result],is_result_to_send,2,FALSE))</f>
        <v>0</v>
      </c>
      <c r="T2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8" s="38" t="str">
        <f t="array" aca="1" ref="U2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8" s="38" t="s">
        <v>389</v>
      </c>
      <c r="W28" s="38">
        <v>1</v>
      </c>
    </row>
    <row r="29" spans="1:23" x14ac:dyDescent="0.15">
      <c r="A29" s="3" t="s">
        <v>210</v>
      </c>
      <c r="B29" s="3" t="str">
        <f>MID(analysis_table[well_no_zero],1,1) &amp; IF(VALUE(MID(analysis_table[well_no_zero],2,2)) &lt; 10, "0", "") &amp; MID(analysis_table[well_no_zero],2,2)</f>
        <v>C04</v>
      </c>
      <c r="C29" s="3" t="str">
        <f>IF('Layout piastra'!$B$2 &lt;&gt; "", 'Layout piastra'!$B$2, "")</f>
        <v/>
      </c>
      <c r="D2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29" s="3" t="str">
        <f>VLOOKUP(_xlfn.NUMBERVALUE(MID(analysis_table[well_no_zero], 2, 2)), column_to_batch, 2, FALSE)</f>
        <v>A</v>
      </c>
      <c r="F29" s="11" t="str">
        <f t="array" ref="F2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29" s="11" t="str">
        <f t="array" ref="G2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29" s="11" t="str">
        <f t="array" ref="H2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2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29" s="11" t="b">
        <f>NOT(ISNA(VLOOKUP(analysis_table[well_no_zero],control_wells,2,FALSE)))</f>
        <v>0</v>
      </c>
      <c r="K29" s="11" t="str">
        <f>_xlfn.IFNA(VLOOKUP(analysis_table[well_no_zero],control_wells,2,FALSE), "No")</f>
        <v>No</v>
      </c>
      <c r="L2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2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29" s="38" t="str">
        <f ca="1">IF(analysis_table[is_well_empy], "", VLOOKUP(analysis_table[test_result_auto],result_symbols_auto,2,FALSE))</f>
        <v/>
      </c>
      <c r="O29" s="96"/>
      <c r="P29" s="38" t="b">
        <f>analysis_table[user_result]&lt;&gt; ""</f>
        <v>0</v>
      </c>
      <c r="Q29" s="38" t="str">
        <f>IF(analysis_table[test_status], IF(analysis_table[user_result]="CORRETTO", analysis_table[test_symbol_auto], VLOOKUP(analysis_table[user_result],result_symbols,2,FALSE)), "")</f>
        <v/>
      </c>
      <c r="R29" s="38" t="str">
        <f t="array" aca="1" ref="R2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29" s="38" t="b">
        <f ca="1">IF(OR(analysis_table[is_well_empy]=TRUE, analysis_table[final_result]=""), FALSE, VLOOKUP(analysis_table[final_result],is_result_to_send,2,FALSE))</f>
        <v>0</v>
      </c>
      <c r="T2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29" s="38" t="str">
        <f t="array" aca="1" ref="U2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29" s="38" t="s">
        <v>389</v>
      </c>
      <c r="W29" s="38">
        <v>1</v>
      </c>
    </row>
    <row r="30" spans="1:23" x14ac:dyDescent="0.15">
      <c r="A30" s="3" t="s">
        <v>211</v>
      </c>
      <c r="B30" s="3" t="str">
        <f>MID(analysis_table[well_no_zero],1,1) &amp; IF(VALUE(MID(analysis_table[well_no_zero],2,2)) &lt; 10, "0", "") &amp; MID(analysis_table[well_no_zero],2,2)</f>
        <v>C05</v>
      </c>
      <c r="C30" s="3" t="str">
        <f>IF('Layout piastra'!$B$2 &lt;&gt; "", 'Layout piastra'!$B$2, "")</f>
        <v/>
      </c>
      <c r="D3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0" s="3" t="str">
        <f>VLOOKUP(_xlfn.NUMBERVALUE(MID(analysis_table[well_no_zero], 2, 2)), column_to_batch, 2, FALSE)</f>
        <v>B</v>
      </c>
      <c r="F30" s="11" t="str">
        <f t="array" ref="F3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0" s="11" t="str">
        <f t="array" ref="G3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0" s="11" t="str">
        <f t="array" ref="H3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0" s="11" t="b">
        <f>NOT(ISNA(VLOOKUP(analysis_table[well_no_zero],control_wells,2,FALSE)))</f>
        <v>0</v>
      </c>
      <c r="K30" s="11" t="str">
        <f>_xlfn.IFNA(VLOOKUP(analysis_table[well_no_zero],control_wells,2,FALSE), "No")</f>
        <v>No</v>
      </c>
      <c r="L3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0" s="38" t="str">
        <f ca="1">IF(analysis_table[is_well_empy], "", VLOOKUP(analysis_table[test_result_auto],result_symbols_auto,2,FALSE))</f>
        <v/>
      </c>
      <c r="O30" s="96"/>
      <c r="P30" s="38" t="b">
        <f>analysis_table[user_result]&lt;&gt; ""</f>
        <v>0</v>
      </c>
      <c r="Q30" s="38" t="str">
        <f>IF(analysis_table[test_status], IF(analysis_table[user_result]="CORRETTO", analysis_table[test_symbol_auto], VLOOKUP(analysis_table[user_result],result_symbols,2,FALSE)), "")</f>
        <v/>
      </c>
      <c r="R30" s="38" t="str">
        <f t="array" aca="1" ref="R3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0" s="38" t="b">
        <f ca="1">IF(OR(analysis_table[is_well_empy]=TRUE, analysis_table[final_result]=""), FALSE, VLOOKUP(analysis_table[final_result],is_result_to_send,2,FALSE))</f>
        <v>0</v>
      </c>
      <c r="T3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0" s="38" t="str">
        <f t="array" aca="1" ref="U3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0" s="38" t="s">
        <v>389</v>
      </c>
      <c r="W30" s="38">
        <v>1</v>
      </c>
    </row>
    <row r="31" spans="1:23" x14ac:dyDescent="0.15">
      <c r="A31" s="3" t="s">
        <v>212</v>
      </c>
      <c r="B31" s="3" t="str">
        <f>MID(analysis_table[well_no_zero],1,1) &amp; IF(VALUE(MID(analysis_table[well_no_zero],2,2)) &lt; 10, "0", "") &amp; MID(analysis_table[well_no_zero],2,2)</f>
        <v>C06</v>
      </c>
      <c r="C31" s="3" t="str">
        <f>IF('Layout piastra'!$B$2 &lt;&gt; "", 'Layout piastra'!$B$2, "")</f>
        <v/>
      </c>
      <c r="D3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1" s="3" t="str">
        <f>VLOOKUP(_xlfn.NUMBERVALUE(MID(analysis_table[well_no_zero], 2, 2)), column_to_batch, 2, FALSE)</f>
        <v>B</v>
      </c>
      <c r="F31" s="11" t="str">
        <f t="array" ref="F3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1" s="11" t="str">
        <f t="array" ref="G3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1" s="11" t="str">
        <f t="array" ref="H3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1" s="11" t="b">
        <f>NOT(ISNA(VLOOKUP(analysis_table[well_no_zero],control_wells,2,FALSE)))</f>
        <v>0</v>
      </c>
      <c r="K31" s="11" t="str">
        <f>_xlfn.IFNA(VLOOKUP(analysis_table[well_no_zero],control_wells,2,FALSE), "No")</f>
        <v>No</v>
      </c>
      <c r="L3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1" s="38" t="str">
        <f ca="1">IF(analysis_table[is_well_empy], "", VLOOKUP(analysis_table[test_result_auto],result_symbols_auto,2,FALSE))</f>
        <v/>
      </c>
      <c r="O31" s="96"/>
      <c r="P31" s="38" t="b">
        <f>analysis_table[user_result]&lt;&gt; ""</f>
        <v>0</v>
      </c>
      <c r="Q31" s="38" t="str">
        <f>IF(analysis_table[test_status], IF(analysis_table[user_result]="CORRETTO", analysis_table[test_symbol_auto], VLOOKUP(analysis_table[user_result],result_symbols,2,FALSE)), "")</f>
        <v/>
      </c>
      <c r="R31" s="38" t="str">
        <f t="array" aca="1" ref="R3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1" s="38" t="b">
        <f ca="1">IF(OR(analysis_table[is_well_empy]=TRUE, analysis_table[final_result]=""), FALSE, VLOOKUP(analysis_table[final_result],is_result_to_send,2,FALSE))</f>
        <v>0</v>
      </c>
      <c r="T3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1" s="38" t="str">
        <f t="array" aca="1" ref="U3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1" s="38" t="s">
        <v>389</v>
      </c>
      <c r="W31" s="38">
        <v>1</v>
      </c>
    </row>
    <row r="32" spans="1:23" x14ac:dyDescent="0.15">
      <c r="A32" s="3" t="s">
        <v>213</v>
      </c>
      <c r="B32" s="3" t="str">
        <f>MID(analysis_table[well_no_zero],1,1) &amp; IF(VALUE(MID(analysis_table[well_no_zero],2,2)) &lt; 10, "0", "") &amp; MID(analysis_table[well_no_zero],2,2)</f>
        <v>C07</v>
      </c>
      <c r="C32" s="3" t="str">
        <f>IF('Layout piastra'!$B$2 &lt;&gt; "", 'Layout piastra'!$B$2, "")</f>
        <v/>
      </c>
      <c r="D3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2" s="3" t="str">
        <f>VLOOKUP(_xlfn.NUMBERVALUE(MID(analysis_table[well_no_zero], 2, 2)), column_to_batch, 2, FALSE)</f>
        <v>B</v>
      </c>
      <c r="F32" s="11" t="str">
        <f t="array" ref="F3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2" s="11" t="str">
        <f t="array" ref="G3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2" s="11" t="str">
        <f t="array" ref="H3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2" s="11" t="b">
        <f>NOT(ISNA(VLOOKUP(analysis_table[well_no_zero],control_wells,2,FALSE)))</f>
        <v>0</v>
      </c>
      <c r="K32" s="11" t="str">
        <f>_xlfn.IFNA(VLOOKUP(analysis_table[well_no_zero],control_wells,2,FALSE), "No")</f>
        <v>No</v>
      </c>
      <c r="L3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2" s="38" t="str">
        <f ca="1">IF(analysis_table[is_well_empy], "", VLOOKUP(analysis_table[test_result_auto],result_symbols_auto,2,FALSE))</f>
        <v/>
      </c>
      <c r="O32" s="96"/>
      <c r="P32" s="38" t="b">
        <f>analysis_table[user_result]&lt;&gt; ""</f>
        <v>0</v>
      </c>
      <c r="Q32" s="38" t="str">
        <f>IF(analysis_table[test_status], IF(analysis_table[user_result]="CORRETTO", analysis_table[test_symbol_auto], VLOOKUP(analysis_table[user_result],result_symbols,2,FALSE)), "")</f>
        <v/>
      </c>
      <c r="R32" s="38" t="str">
        <f t="array" aca="1" ref="R3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2" s="38" t="b">
        <f ca="1">IF(OR(analysis_table[is_well_empy]=TRUE, analysis_table[final_result]=""), FALSE, VLOOKUP(analysis_table[final_result],is_result_to_send,2,FALSE))</f>
        <v>0</v>
      </c>
      <c r="T3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2" s="38" t="str">
        <f t="array" aca="1" ref="U3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2" s="38" t="s">
        <v>389</v>
      </c>
      <c r="W32" s="38">
        <v>1</v>
      </c>
    </row>
    <row r="33" spans="1:23" x14ac:dyDescent="0.15">
      <c r="A33" s="3" t="s">
        <v>214</v>
      </c>
      <c r="B33" s="3" t="str">
        <f>MID(analysis_table[well_no_zero],1,1) &amp; IF(VALUE(MID(analysis_table[well_no_zero],2,2)) &lt; 10, "0", "") &amp; MID(analysis_table[well_no_zero],2,2)</f>
        <v>C08</v>
      </c>
      <c r="C33" s="3" t="str">
        <f>IF('Layout piastra'!$B$2 &lt;&gt; "", 'Layout piastra'!$B$2, "")</f>
        <v/>
      </c>
      <c r="D3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3" s="3" t="str">
        <f>VLOOKUP(_xlfn.NUMBERVALUE(MID(analysis_table[well_no_zero], 2, 2)), column_to_batch, 2, FALSE)</f>
        <v>B</v>
      </c>
      <c r="F33" s="11" t="str">
        <f t="array" ref="F3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3" s="11" t="str">
        <f t="array" ref="G3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3" s="11" t="str">
        <f t="array" ref="H3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3" s="11" t="b">
        <f>NOT(ISNA(VLOOKUP(analysis_table[well_no_zero],control_wells,2,FALSE)))</f>
        <v>0</v>
      </c>
      <c r="K33" s="11" t="str">
        <f>_xlfn.IFNA(VLOOKUP(analysis_table[well_no_zero],control_wells,2,FALSE), "No")</f>
        <v>No</v>
      </c>
      <c r="L3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3" s="38" t="str">
        <f ca="1">IF(analysis_table[is_well_empy], "", VLOOKUP(analysis_table[test_result_auto],result_symbols_auto,2,FALSE))</f>
        <v/>
      </c>
      <c r="O33" s="96"/>
      <c r="P33" s="38" t="b">
        <f>analysis_table[user_result]&lt;&gt; ""</f>
        <v>0</v>
      </c>
      <c r="Q33" s="38" t="str">
        <f>IF(analysis_table[test_status], IF(analysis_table[user_result]="CORRETTO", analysis_table[test_symbol_auto], VLOOKUP(analysis_table[user_result],result_symbols,2,FALSE)), "")</f>
        <v/>
      </c>
      <c r="R33" s="38" t="str">
        <f t="array" aca="1" ref="R3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3" s="38" t="b">
        <f ca="1">IF(OR(analysis_table[is_well_empy]=TRUE, analysis_table[final_result]=""), FALSE, VLOOKUP(analysis_table[final_result],is_result_to_send,2,FALSE))</f>
        <v>0</v>
      </c>
      <c r="T3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3" s="38" t="str">
        <f t="array" aca="1" ref="U3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3" s="38" t="s">
        <v>389</v>
      </c>
      <c r="W33" s="38">
        <v>1</v>
      </c>
    </row>
    <row r="34" spans="1:23" x14ac:dyDescent="0.15">
      <c r="A34" s="3" t="s">
        <v>215</v>
      </c>
      <c r="B34" s="3" t="str">
        <f>MID(analysis_table[well_no_zero],1,1) &amp; IF(VALUE(MID(analysis_table[well_no_zero],2,2)) &lt; 10, "0", "") &amp; MID(analysis_table[well_no_zero],2,2)</f>
        <v>C09</v>
      </c>
      <c r="C34" s="3" t="str">
        <f>IF('Layout piastra'!$B$2 &lt;&gt; "", 'Layout piastra'!$B$2, "")</f>
        <v/>
      </c>
      <c r="D3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4" s="3" t="str">
        <f>VLOOKUP(_xlfn.NUMBERVALUE(MID(analysis_table[well_no_zero], 2, 2)), column_to_batch, 2, FALSE)</f>
        <v>C</v>
      </c>
      <c r="F34" s="11" t="str">
        <f t="array" ref="F3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4" s="11" t="str">
        <f t="array" ref="G3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4" s="11" t="str">
        <f t="array" ref="H3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4" s="11" t="b">
        <f>NOT(ISNA(VLOOKUP(analysis_table[well_no_zero],control_wells,2,FALSE)))</f>
        <v>0</v>
      </c>
      <c r="K34" s="11" t="str">
        <f>_xlfn.IFNA(VLOOKUP(analysis_table[well_no_zero],control_wells,2,FALSE), "No")</f>
        <v>No</v>
      </c>
      <c r="L3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4" s="38" t="str">
        <f ca="1">IF(analysis_table[is_well_empy], "", VLOOKUP(analysis_table[test_result_auto],result_symbols_auto,2,FALSE))</f>
        <v/>
      </c>
      <c r="O34" s="96"/>
      <c r="P34" s="38" t="b">
        <f>analysis_table[user_result]&lt;&gt; ""</f>
        <v>0</v>
      </c>
      <c r="Q34" s="38" t="str">
        <f>IF(analysis_table[test_status], IF(analysis_table[user_result]="CORRETTO", analysis_table[test_symbol_auto], VLOOKUP(analysis_table[user_result],result_symbols,2,FALSE)), "")</f>
        <v/>
      </c>
      <c r="R34" s="38" t="str">
        <f t="array" aca="1" ref="R3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4" s="38" t="b">
        <f ca="1">IF(OR(analysis_table[is_well_empy]=TRUE, analysis_table[final_result]=""), FALSE, VLOOKUP(analysis_table[final_result],is_result_to_send,2,FALSE))</f>
        <v>0</v>
      </c>
      <c r="T3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4" s="38" t="str">
        <f t="array" aca="1" ref="U3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4" s="38" t="s">
        <v>389</v>
      </c>
      <c r="W34" s="38">
        <v>1</v>
      </c>
    </row>
    <row r="35" spans="1:23" x14ac:dyDescent="0.15">
      <c r="A35" s="3" t="s">
        <v>139</v>
      </c>
      <c r="B35" s="3" t="str">
        <f>MID(analysis_table[well_no_zero],1,1) &amp; IF(VALUE(MID(analysis_table[well_no_zero],2,2)) &lt; 10, "0", "") &amp; MID(analysis_table[well_no_zero],2,2)</f>
        <v>C10</v>
      </c>
      <c r="C35" s="3" t="str">
        <f>IF('Layout piastra'!$B$2 &lt;&gt; "", 'Layout piastra'!$B$2, "")</f>
        <v/>
      </c>
      <c r="D3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5" s="3" t="str">
        <f>VLOOKUP(_xlfn.NUMBERVALUE(MID(analysis_table[well_no_zero], 2, 2)), column_to_batch, 2, FALSE)</f>
        <v>C</v>
      </c>
      <c r="F35" s="11" t="str">
        <f t="array" ref="F3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5" s="11" t="str">
        <f t="array" ref="G3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5" s="11" t="str">
        <f t="array" ref="H3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5" s="11" t="b">
        <f>NOT(ISNA(VLOOKUP(analysis_table[well_no_zero],control_wells,2,FALSE)))</f>
        <v>0</v>
      </c>
      <c r="K35" s="11" t="str">
        <f>_xlfn.IFNA(VLOOKUP(analysis_table[well_no_zero],control_wells,2,FALSE), "No")</f>
        <v>No</v>
      </c>
      <c r="L3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5" s="38" t="str">
        <f ca="1">IF(analysis_table[is_well_empy], "", VLOOKUP(analysis_table[test_result_auto],result_symbols_auto,2,FALSE))</f>
        <v/>
      </c>
      <c r="O35" s="96"/>
      <c r="P35" s="38" t="b">
        <f>analysis_table[user_result]&lt;&gt; ""</f>
        <v>0</v>
      </c>
      <c r="Q35" s="38" t="str">
        <f>IF(analysis_table[test_status], IF(analysis_table[user_result]="CORRETTO", analysis_table[test_symbol_auto], VLOOKUP(analysis_table[user_result],result_symbols,2,FALSE)), "")</f>
        <v/>
      </c>
      <c r="R35" s="38" t="str">
        <f t="array" aca="1" ref="R3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5" s="38" t="b">
        <f ca="1">IF(OR(analysis_table[is_well_empy]=TRUE, analysis_table[final_result]=""), FALSE, VLOOKUP(analysis_table[final_result],is_result_to_send,2,FALSE))</f>
        <v>0</v>
      </c>
      <c r="T3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5" s="38" t="str">
        <f t="array" aca="1" ref="U3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5" s="38" t="s">
        <v>389</v>
      </c>
      <c r="W35" s="38">
        <v>1</v>
      </c>
    </row>
    <row r="36" spans="1:23" x14ac:dyDescent="0.15">
      <c r="A36" s="3" t="s">
        <v>147</v>
      </c>
      <c r="B36" s="3" t="str">
        <f>MID(analysis_table[well_no_zero],1,1) &amp; IF(VALUE(MID(analysis_table[well_no_zero],2,2)) &lt; 10, "0", "") &amp; MID(analysis_table[well_no_zero],2,2)</f>
        <v>C11</v>
      </c>
      <c r="C36" s="3" t="str">
        <f>IF('Layout piastra'!$B$2 &lt;&gt; "", 'Layout piastra'!$B$2, "")</f>
        <v/>
      </c>
      <c r="D3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6" s="3" t="str">
        <f>VLOOKUP(_xlfn.NUMBERVALUE(MID(analysis_table[well_no_zero], 2, 2)), column_to_batch, 2, FALSE)</f>
        <v>C</v>
      </c>
      <c r="F36" s="11" t="str">
        <f t="array" ref="F3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6" s="11" t="str">
        <f t="array" ref="G3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6" s="11" t="str">
        <f t="array" ref="H3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6" s="11" t="b">
        <f>NOT(ISNA(VLOOKUP(analysis_table[well_no_zero],control_wells,2,FALSE)))</f>
        <v>0</v>
      </c>
      <c r="K36" s="11" t="str">
        <f>_xlfn.IFNA(VLOOKUP(analysis_table[well_no_zero],control_wells,2,FALSE), "No")</f>
        <v>No</v>
      </c>
      <c r="L3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6" s="38" t="str">
        <f ca="1">IF(analysis_table[is_well_empy], "", VLOOKUP(analysis_table[test_result_auto],result_symbols_auto,2,FALSE))</f>
        <v/>
      </c>
      <c r="O36" s="96"/>
      <c r="P36" s="38" t="b">
        <f>analysis_table[user_result]&lt;&gt; ""</f>
        <v>0</v>
      </c>
      <c r="Q36" s="38" t="str">
        <f>IF(analysis_table[test_status], IF(analysis_table[user_result]="CORRETTO", analysis_table[test_symbol_auto], VLOOKUP(analysis_table[user_result],result_symbols,2,FALSE)), "")</f>
        <v/>
      </c>
      <c r="R36" s="38" t="str">
        <f t="array" aca="1" ref="R3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6" s="38" t="b">
        <f ca="1">IF(OR(analysis_table[is_well_empy]=TRUE, analysis_table[final_result]=""), FALSE, VLOOKUP(analysis_table[final_result],is_result_to_send,2,FALSE))</f>
        <v>0</v>
      </c>
      <c r="T3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6" s="38" t="str">
        <f t="array" aca="1" ref="U3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6" s="38" t="s">
        <v>389</v>
      </c>
      <c r="W36" s="38">
        <v>1</v>
      </c>
    </row>
    <row r="37" spans="1:23" x14ac:dyDescent="0.15">
      <c r="A37" s="3" t="s">
        <v>155</v>
      </c>
      <c r="B37" s="3" t="str">
        <f>MID(analysis_table[well_no_zero],1,1) &amp; IF(VALUE(MID(analysis_table[well_no_zero],2,2)) &lt; 10, "0", "") &amp; MID(analysis_table[well_no_zero],2,2)</f>
        <v>C12</v>
      </c>
      <c r="C37" s="3" t="str">
        <f>IF('Layout piastra'!$B$2 &lt;&gt; "", 'Layout piastra'!$B$2, "")</f>
        <v/>
      </c>
      <c r="D3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7" s="3" t="str">
        <f>VLOOKUP(_xlfn.NUMBERVALUE(MID(analysis_table[well_no_zero], 2, 2)), column_to_batch, 2, FALSE)</f>
        <v>C</v>
      </c>
      <c r="F37" s="11" t="str">
        <f t="array" ref="F3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7" s="11" t="str">
        <f t="array" ref="G3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7" s="11" t="str">
        <f t="array" ref="H3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7" s="11" t="b">
        <f>NOT(ISNA(VLOOKUP(analysis_table[well_no_zero],control_wells,2,FALSE)))</f>
        <v>0</v>
      </c>
      <c r="K37" s="11" t="str">
        <f>_xlfn.IFNA(VLOOKUP(analysis_table[well_no_zero],control_wells,2,FALSE), "No")</f>
        <v>No</v>
      </c>
      <c r="L3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7" s="38" t="str">
        <f ca="1">IF(analysis_table[is_well_empy], "", VLOOKUP(analysis_table[test_result_auto],result_symbols_auto,2,FALSE))</f>
        <v/>
      </c>
      <c r="O37" s="96"/>
      <c r="P37" s="38" t="b">
        <f>analysis_table[user_result]&lt;&gt; ""</f>
        <v>0</v>
      </c>
      <c r="Q37" s="38" t="str">
        <f>IF(analysis_table[test_status], IF(analysis_table[user_result]="CORRETTO", analysis_table[test_symbol_auto], VLOOKUP(analysis_table[user_result],result_symbols,2,FALSE)), "")</f>
        <v/>
      </c>
      <c r="R37" s="38" t="str">
        <f t="array" aca="1" ref="R3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7" s="38" t="b">
        <f ca="1">IF(OR(analysis_table[is_well_empy]=TRUE, analysis_table[final_result]=""), FALSE, VLOOKUP(analysis_table[final_result],is_result_to_send,2,FALSE))</f>
        <v>0</v>
      </c>
      <c r="T3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7" s="38" t="str">
        <f t="array" aca="1" ref="U3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7" s="38" t="s">
        <v>389</v>
      </c>
      <c r="W37" s="38">
        <v>1</v>
      </c>
    </row>
    <row r="38" spans="1:23" x14ac:dyDescent="0.15">
      <c r="A38" s="3" t="s">
        <v>216</v>
      </c>
      <c r="B38" s="3" t="str">
        <f>MID(analysis_table[well_no_zero],1,1) &amp; IF(VALUE(MID(analysis_table[well_no_zero],2,2)) &lt; 10, "0", "") &amp; MID(analysis_table[well_no_zero],2,2)</f>
        <v>D01</v>
      </c>
      <c r="C38" s="3" t="str">
        <f>IF('Layout piastra'!$B$2 &lt;&gt; "", 'Layout piastra'!$B$2, "")</f>
        <v/>
      </c>
      <c r="D3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8" s="3" t="str">
        <f>VLOOKUP(_xlfn.NUMBERVALUE(MID(analysis_table[well_no_zero], 2, 2)), column_to_batch, 2, FALSE)</f>
        <v>A</v>
      </c>
      <c r="F38" s="11" t="str">
        <f t="array" ref="F3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8" s="11" t="str">
        <f t="array" ref="G3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8" s="11" t="str">
        <f t="array" ref="H3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8" s="11" t="b">
        <f>NOT(ISNA(VLOOKUP(analysis_table[well_no_zero],control_wells,2,FALSE)))</f>
        <v>0</v>
      </c>
      <c r="K38" s="11" t="str">
        <f>_xlfn.IFNA(VLOOKUP(analysis_table[well_no_zero],control_wells,2,FALSE), "No")</f>
        <v>No</v>
      </c>
      <c r="L3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8" s="38" t="str">
        <f ca="1">IF(analysis_table[is_well_empy], "", VLOOKUP(analysis_table[test_result_auto],result_symbols_auto,2,FALSE))</f>
        <v/>
      </c>
      <c r="O38" s="96"/>
      <c r="P38" s="38" t="b">
        <f>analysis_table[user_result]&lt;&gt; ""</f>
        <v>0</v>
      </c>
      <c r="Q38" s="38" t="str">
        <f>IF(analysis_table[test_status], IF(analysis_table[user_result]="CORRETTO", analysis_table[test_symbol_auto], VLOOKUP(analysis_table[user_result],result_symbols,2,FALSE)), "")</f>
        <v/>
      </c>
      <c r="R38" s="38" t="str">
        <f t="array" aca="1" ref="R3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8" s="38" t="b">
        <f ca="1">IF(OR(analysis_table[is_well_empy]=TRUE, analysis_table[final_result]=""), FALSE, VLOOKUP(analysis_table[final_result],is_result_to_send,2,FALSE))</f>
        <v>0</v>
      </c>
      <c r="T3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8" s="38" t="str">
        <f t="array" aca="1" ref="U3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8" s="38" t="s">
        <v>389</v>
      </c>
      <c r="W38" s="38">
        <v>1</v>
      </c>
    </row>
    <row r="39" spans="1:23" x14ac:dyDescent="0.15">
      <c r="A39" s="3" t="s">
        <v>217</v>
      </c>
      <c r="B39" s="3" t="str">
        <f>MID(analysis_table[well_no_zero],1,1) &amp; IF(VALUE(MID(analysis_table[well_no_zero],2,2)) &lt; 10, "0", "") &amp; MID(analysis_table[well_no_zero],2,2)</f>
        <v>D02</v>
      </c>
      <c r="C39" s="3" t="str">
        <f>IF('Layout piastra'!$B$2 &lt;&gt; "", 'Layout piastra'!$B$2, "")</f>
        <v/>
      </c>
      <c r="D3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39" s="3" t="str">
        <f>VLOOKUP(_xlfn.NUMBERVALUE(MID(analysis_table[well_no_zero], 2, 2)), column_to_batch, 2, FALSE)</f>
        <v>A</v>
      </c>
      <c r="F39" s="11" t="str">
        <f t="array" ref="F3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39" s="11" t="str">
        <f t="array" ref="G3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39" s="11" t="str">
        <f t="array" ref="H3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3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39" s="11" t="b">
        <f>NOT(ISNA(VLOOKUP(analysis_table[well_no_zero],control_wells,2,FALSE)))</f>
        <v>0</v>
      </c>
      <c r="K39" s="11" t="str">
        <f>_xlfn.IFNA(VLOOKUP(analysis_table[well_no_zero],control_wells,2,FALSE), "No")</f>
        <v>No</v>
      </c>
      <c r="L3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3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39" s="38" t="str">
        <f ca="1">IF(analysis_table[is_well_empy], "", VLOOKUP(analysis_table[test_result_auto],result_symbols_auto,2,FALSE))</f>
        <v/>
      </c>
      <c r="O39" s="96"/>
      <c r="P39" s="38" t="b">
        <f>analysis_table[user_result]&lt;&gt; ""</f>
        <v>0</v>
      </c>
      <c r="Q39" s="38" t="str">
        <f>IF(analysis_table[test_status], IF(analysis_table[user_result]="CORRETTO", analysis_table[test_symbol_auto], VLOOKUP(analysis_table[user_result],result_symbols,2,FALSE)), "")</f>
        <v/>
      </c>
      <c r="R39" s="38" t="str">
        <f t="array" aca="1" ref="R3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39" s="38" t="b">
        <f ca="1">IF(OR(analysis_table[is_well_empy]=TRUE, analysis_table[final_result]=""), FALSE, VLOOKUP(analysis_table[final_result],is_result_to_send,2,FALSE))</f>
        <v>0</v>
      </c>
      <c r="T3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39" s="38" t="str">
        <f t="array" aca="1" ref="U3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39" s="38" t="s">
        <v>389</v>
      </c>
      <c r="W39" s="38">
        <v>1</v>
      </c>
    </row>
    <row r="40" spans="1:23" x14ac:dyDescent="0.15">
      <c r="A40" s="3" t="s">
        <v>218</v>
      </c>
      <c r="B40" s="3" t="str">
        <f>MID(analysis_table[well_no_zero],1,1) &amp; IF(VALUE(MID(analysis_table[well_no_zero],2,2)) &lt; 10, "0", "") &amp; MID(analysis_table[well_no_zero],2,2)</f>
        <v>D03</v>
      </c>
      <c r="C40" s="3" t="str">
        <f>IF('Layout piastra'!$B$2 &lt;&gt; "", 'Layout piastra'!$B$2, "")</f>
        <v/>
      </c>
      <c r="D4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0" s="3" t="str">
        <f>VLOOKUP(_xlfn.NUMBERVALUE(MID(analysis_table[well_no_zero], 2, 2)), column_to_batch, 2, FALSE)</f>
        <v>A</v>
      </c>
      <c r="F40" s="11" t="str">
        <f t="array" ref="F4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0" s="11" t="str">
        <f t="array" ref="G4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0" s="11" t="str">
        <f t="array" ref="H4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0" s="11" t="b">
        <f>NOT(ISNA(VLOOKUP(analysis_table[well_no_zero],control_wells,2,FALSE)))</f>
        <v>0</v>
      </c>
      <c r="K40" s="11" t="str">
        <f>_xlfn.IFNA(VLOOKUP(analysis_table[well_no_zero],control_wells,2,FALSE), "No")</f>
        <v>No</v>
      </c>
      <c r="L4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0" s="38" t="str">
        <f ca="1">IF(analysis_table[is_well_empy], "", VLOOKUP(analysis_table[test_result_auto],result_symbols_auto,2,FALSE))</f>
        <v/>
      </c>
      <c r="O40" s="96"/>
      <c r="P40" s="38" t="b">
        <f>analysis_table[user_result]&lt;&gt; ""</f>
        <v>0</v>
      </c>
      <c r="Q40" s="38" t="str">
        <f>IF(analysis_table[test_status], IF(analysis_table[user_result]="CORRETTO", analysis_table[test_symbol_auto], VLOOKUP(analysis_table[user_result],result_symbols,2,FALSE)), "")</f>
        <v/>
      </c>
      <c r="R40" s="38" t="str">
        <f t="array" aca="1" ref="R4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0" s="38" t="b">
        <f ca="1">IF(OR(analysis_table[is_well_empy]=TRUE, analysis_table[final_result]=""), FALSE, VLOOKUP(analysis_table[final_result],is_result_to_send,2,FALSE))</f>
        <v>0</v>
      </c>
      <c r="T4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0" s="38" t="str">
        <f t="array" aca="1" ref="U4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0" s="38" t="s">
        <v>389</v>
      </c>
      <c r="W40" s="38">
        <v>1</v>
      </c>
    </row>
    <row r="41" spans="1:23" x14ac:dyDescent="0.15">
      <c r="A41" s="3" t="s">
        <v>219</v>
      </c>
      <c r="B41" s="3" t="str">
        <f>MID(analysis_table[well_no_zero],1,1) &amp; IF(VALUE(MID(analysis_table[well_no_zero],2,2)) &lt; 10, "0", "") &amp; MID(analysis_table[well_no_zero],2,2)</f>
        <v>D04</v>
      </c>
      <c r="C41" s="3" t="str">
        <f>IF('Layout piastra'!$B$2 &lt;&gt; "", 'Layout piastra'!$B$2, "")</f>
        <v/>
      </c>
      <c r="D4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1" s="3" t="str">
        <f>VLOOKUP(_xlfn.NUMBERVALUE(MID(analysis_table[well_no_zero], 2, 2)), column_to_batch, 2, FALSE)</f>
        <v>A</v>
      </c>
      <c r="F41" s="11" t="str">
        <f t="array" ref="F4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1" s="11" t="str">
        <f t="array" ref="G4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1" s="11" t="str">
        <f t="array" ref="H4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1" s="11" t="b">
        <f>NOT(ISNA(VLOOKUP(analysis_table[well_no_zero],control_wells,2,FALSE)))</f>
        <v>1</v>
      </c>
      <c r="K41" s="11" t="str">
        <f>_xlfn.IFNA(VLOOKUP(analysis_table[well_no_zero],control_wells,2,FALSE), "No")</f>
        <v>BE</v>
      </c>
      <c r="L4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1" s="38" t="str">
        <f ca="1">IF(analysis_table[is_well_empy], "", VLOOKUP(analysis_table[test_result_auto],result_symbols_auto,2,FALSE))</f>
        <v/>
      </c>
      <c r="O41" s="96"/>
      <c r="P41" s="38" t="b">
        <f>analysis_table[user_result]&lt;&gt; ""</f>
        <v>0</v>
      </c>
      <c r="Q41" s="38" t="str">
        <f>IF(analysis_table[test_status], IF(analysis_table[user_result]="CORRETTO", analysis_table[test_symbol_auto], VLOOKUP(analysis_table[user_result],result_symbols,2,FALSE)), "")</f>
        <v/>
      </c>
      <c r="R41" s="38" t="str">
        <f t="array" aca="1" ref="R4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1" s="38" t="b">
        <f ca="1">IF(OR(analysis_table[is_well_empy]=TRUE, analysis_table[final_result]=""), FALSE, VLOOKUP(analysis_table[final_result],is_result_to_send,2,FALSE))</f>
        <v>0</v>
      </c>
      <c r="T4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1" s="38" t="str">
        <f t="array" aca="1" ref="U4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1" s="38" t="s">
        <v>389</v>
      </c>
      <c r="W41" s="38">
        <v>1</v>
      </c>
    </row>
    <row r="42" spans="1:23" x14ac:dyDescent="0.15">
      <c r="A42" s="3" t="s">
        <v>220</v>
      </c>
      <c r="B42" s="3" t="str">
        <f>MID(analysis_table[well_no_zero],1,1) &amp; IF(VALUE(MID(analysis_table[well_no_zero],2,2)) &lt; 10, "0", "") &amp; MID(analysis_table[well_no_zero],2,2)</f>
        <v>D05</v>
      </c>
      <c r="C42" s="3" t="str">
        <f>IF('Layout piastra'!$B$2 &lt;&gt; "", 'Layout piastra'!$B$2, "")</f>
        <v/>
      </c>
      <c r="D4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2" s="3" t="str">
        <f>VLOOKUP(_xlfn.NUMBERVALUE(MID(analysis_table[well_no_zero], 2, 2)), column_to_batch, 2, FALSE)</f>
        <v>B</v>
      </c>
      <c r="F42" s="11" t="str">
        <f t="array" ref="F4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2" s="11" t="str">
        <f t="array" ref="G4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2" s="11" t="str">
        <f t="array" ref="H4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2" s="11" t="b">
        <f>NOT(ISNA(VLOOKUP(analysis_table[well_no_zero],control_wells,2,FALSE)))</f>
        <v>0</v>
      </c>
      <c r="K42" s="11" t="str">
        <f>_xlfn.IFNA(VLOOKUP(analysis_table[well_no_zero],control_wells,2,FALSE), "No")</f>
        <v>No</v>
      </c>
      <c r="L4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2" s="38" t="str">
        <f ca="1">IF(analysis_table[is_well_empy], "", VLOOKUP(analysis_table[test_result_auto],result_symbols_auto,2,FALSE))</f>
        <v/>
      </c>
      <c r="O42" s="96"/>
      <c r="P42" s="38" t="b">
        <f>analysis_table[user_result]&lt;&gt; ""</f>
        <v>0</v>
      </c>
      <c r="Q42" s="38" t="str">
        <f>IF(analysis_table[test_status], IF(analysis_table[user_result]="CORRETTO", analysis_table[test_symbol_auto], VLOOKUP(analysis_table[user_result],result_symbols,2,FALSE)), "")</f>
        <v/>
      </c>
      <c r="R42" s="38" t="str">
        <f t="array" aca="1" ref="R4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2" s="38" t="b">
        <f ca="1">IF(OR(analysis_table[is_well_empy]=TRUE, analysis_table[final_result]=""), FALSE, VLOOKUP(analysis_table[final_result],is_result_to_send,2,FALSE))</f>
        <v>0</v>
      </c>
      <c r="T4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2" s="38" t="str">
        <f t="array" aca="1" ref="U4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2" s="38" t="s">
        <v>389</v>
      </c>
      <c r="W42" s="38">
        <v>1</v>
      </c>
    </row>
    <row r="43" spans="1:23" x14ac:dyDescent="0.15">
      <c r="A43" s="3" t="s">
        <v>221</v>
      </c>
      <c r="B43" s="3" t="str">
        <f>MID(analysis_table[well_no_zero],1,1) &amp; IF(VALUE(MID(analysis_table[well_no_zero],2,2)) &lt; 10, "0", "") &amp; MID(analysis_table[well_no_zero],2,2)</f>
        <v>D06</v>
      </c>
      <c r="C43" s="3" t="str">
        <f>IF('Layout piastra'!$B$2 &lt;&gt; "", 'Layout piastra'!$B$2, "")</f>
        <v/>
      </c>
      <c r="D4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3" s="3" t="str">
        <f>VLOOKUP(_xlfn.NUMBERVALUE(MID(analysis_table[well_no_zero], 2, 2)), column_to_batch, 2, FALSE)</f>
        <v>B</v>
      </c>
      <c r="F43" s="11" t="str">
        <f t="array" ref="F4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3" s="11" t="str">
        <f t="array" ref="G4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3" s="11" t="str">
        <f t="array" ref="H4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3" s="11" t="b">
        <f>NOT(ISNA(VLOOKUP(analysis_table[well_no_zero],control_wells,2,FALSE)))</f>
        <v>0</v>
      </c>
      <c r="K43" s="11" t="str">
        <f>_xlfn.IFNA(VLOOKUP(analysis_table[well_no_zero],control_wells,2,FALSE), "No")</f>
        <v>No</v>
      </c>
      <c r="L4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3" s="38" t="str">
        <f ca="1">IF(analysis_table[is_well_empy], "", VLOOKUP(analysis_table[test_result_auto],result_symbols_auto,2,FALSE))</f>
        <v/>
      </c>
      <c r="O43" s="96"/>
      <c r="P43" s="38" t="b">
        <f>analysis_table[user_result]&lt;&gt; ""</f>
        <v>0</v>
      </c>
      <c r="Q43" s="38" t="str">
        <f>IF(analysis_table[test_status], IF(analysis_table[user_result]="CORRETTO", analysis_table[test_symbol_auto], VLOOKUP(analysis_table[user_result],result_symbols,2,FALSE)), "")</f>
        <v/>
      </c>
      <c r="R43" s="38" t="str">
        <f t="array" aca="1" ref="R4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3" s="38" t="b">
        <f ca="1">IF(OR(analysis_table[is_well_empy]=TRUE, analysis_table[final_result]=""), FALSE, VLOOKUP(analysis_table[final_result],is_result_to_send,2,FALSE))</f>
        <v>0</v>
      </c>
      <c r="T4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3" s="38" t="str">
        <f t="array" aca="1" ref="U4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3" s="38" t="s">
        <v>389</v>
      </c>
      <c r="W43" s="38">
        <v>1</v>
      </c>
    </row>
    <row r="44" spans="1:23" x14ac:dyDescent="0.15">
      <c r="A44" s="3" t="s">
        <v>222</v>
      </c>
      <c r="B44" s="3" t="str">
        <f>MID(analysis_table[well_no_zero],1,1) &amp; IF(VALUE(MID(analysis_table[well_no_zero],2,2)) &lt; 10, "0", "") &amp; MID(analysis_table[well_no_zero],2,2)</f>
        <v>D07</v>
      </c>
      <c r="C44" s="3" t="str">
        <f>IF('Layout piastra'!$B$2 &lt;&gt; "", 'Layout piastra'!$B$2, "")</f>
        <v/>
      </c>
      <c r="D4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4" s="3" t="str">
        <f>VLOOKUP(_xlfn.NUMBERVALUE(MID(analysis_table[well_no_zero], 2, 2)), column_to_batch, 2, FALSE)</f>
        <v>B</v>
      </c>
      <c r="F44" s="11" t="str">
        <f t="array" ref="F4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4" s="11" t="str">
        <f t="array" ref="G4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4" s="11" t="str">
        <f t="array" ref="H4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4" s="11" t="b">
        <f>NOT(ISNA(VLOOKUP(analysis_table[well_no_zero],control_wells,2,FALSE)))</f>
        <v>0</v>
      </c>
      <c r="K44" s="11" t="str">
        <f>_xlfn.IFNA(VLOOKUP(analysis_table[well_no_zero],control_wells,2,FALSE), "No")</f>
        <v>No</v>
      </c>
      <c r="L4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4" s="38" t="str">
        <f ca="1">IF(analysis_table[is_well_empy], "", VLOOKUP(analysis_table[test_result_auto],result_symbols_auto,2,FALSE))</f>
        <v/>
      </c>
      <c r="O44" s="96"/>
      <c r="P44" s="38" t="b">
        <f>analysis_table[user_result]&lt;&gt; ""</f>
        <v>0</v>
      </c>
      <c r="Q44" s="38" t="str">
        <f>IF(analysis_table[test_status], IF(analysis_table[user_result]="CORRETTO", analysis_table[test_symbol_auto], VLOOKUP(analysis_table[user_result],result_symbols,2,FALSE)), "")</f>
        <v/>
      </c>
      <c r="R44" s="38" t="str">
        <f t="array" aca="1" ref="R4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4" s="38" t="b">
        <f ca="1">IF(OR(analysis_table[is_well_empy]=TRUE, analysis_table[final_result]=""), FALSE, VLOOKUP(analysis_table[final_result],is_result_to_send,2,FALSE))</f>
        <v>0</v>
      </c>
      <c r="T4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4" s="38" t="str">
        <f t="array" aca="1" ref="U4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4" s="38" t="s">
        <v>389</v>
      </c>
      <c r="W44" s="38">
        <v>1</v>
      </c>
    </row>
    <row r="45" spans="1:23" x14ac:dyDescent="0.15">
      <c r="A45" s="3" t="s">
        <v>223</v>
      </c>
      <c r="B45" s="3" t="str">
        <f>MID(analysis_table[well_no_zero],1,1) &amp; IF(VALUE(MID(analysis_table[well_no_zero],2,2)) &lt; 10, "0", "") &amp; MID(analysis_table[well_no_zero],2,2)</f>
        <v>D08</v>
      </c>
      <c r="C45" s="3" t="str">
        <f>IF('Layout piastra'!$B$2 &lt;&gt; "", 'Layout piastra'!$B$2, "")</f>
        <v/>
      </c>
      <c r="D4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5" s="3" t="str">
        <f>VLOOKUP(_xlfn.NUMBERVALUE(MID(analysis_table[well_no_zero], 2, 2)), column_to_batch, 2, FALSE)</f>
        <v>B</v>
      </c>
      <c r="F45" s="11" t="str">
        <f t="array" ref="F4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5" s="11" t="str">
        <f t="array" ref="G4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5" s="11" t="str">
        <f t="array" ref="H4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5" s="11" t="b">
        <f>NOT(ISNA(VLOOKUP(analysis_table[well_no_zero],control_wells,2,FALSE)))</f>
        <v>1</v>
      </c>
      <c r="K45" s="11" t="str">
        <f>_xlfn.IFNA(VLOOKUP(analysis_table[well_no_zero],control_wells,2,FALSE), "No")</f>
        <v>BE</v>
      </c>
      <c r="L4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5" s="38" t="str">
        <f ca="1">IF(analysis_table[is_well_empy], "", VLOOKUP(analysis_table[test_result_auto],result_symbols_auto,2,FALSE))</f>
        <v/>
      </c>
      <c r="O45" s="96"/>
      <c r="P45" s="38" t="b">
        <f>analysis_table[user_result]&lt;&gt; ""</f>
        <v>0</v>
      </c>
      <c r="Q45" s="38" t="str">
        <f>IF(analysis_table[test_status], IF(analysis_table[user_result]="CORRETTO", analysis_table[test_symbol_auto], VLOOKUP(analysis_table[user_result],result_symbols,2,FALSE)), "")</f>
        <v/>
      </c>
      <c r="R45" s="38" t="str">
        <f t="array" aca="1" ref="R4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5" s="38" t="b">
        <f ca="1">IF(OR(analysis_table[is_well_empy]=TRUE, analysis_table[final_result]=""), FALSE, VLOOKUP(analysis_table[final_result],is_result_to_send,2,FALSE))</f>
        <v>0</v>
      </c>
      <c r="T4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5" s="38" t="str">
        <f t="array" aca="1" ref="U4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5" s="38" t="s">
        <v>389</v>
      </c>
      <c r="W45" s="38">
        <v>1</v>
      </c>
    </row>
    <row r="46" spans="1:23" x14ac:dyDescent="0.15">
      <c r="A46" s="3" t="s">
        <v>224</v>
      </c>
      <c r="B46" s="3" t="str">
        <f>MID(analysis_table[well_no_zero],1,1) &amp; IF(VALUE(MID(analysis_table[well_no_zero],2,2)) &lt; 10, "0", "") &amp; MID(analysis_table[well_no_zero],2,2)</f>
        <v>D09</v>
      </c>
      <c r="C46" s="3" t="str">
        <f>IF('Layout piastra'!$B$2 &lt;&gt; "", 'Layout piastra'!$B$2, "")</f>
        <v/>
      </c>
      <c r="D4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6" s="3" t="str">
        <f>VLOOKUP(_xlfn.NUMBERVALUE(MID(analysis_table[well_no_zero], 2, 2)), column_to_batch, 2, FALSE)</f>
        <v>C</v>
      </c>
      <c r="F46" s="11" t="str">
        <f t="array" ref="F4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6" s="11" t="str">
        <f t="array" ref="G4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6" s="11" t="str">
        <f t="array" ref="H4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6" s="11" t="b">
        <f>NOT(ISNA(VLOOKUP(analysis_table[well_no_zero],control_wells,2,FALSE)))</f>
        <v>0</v>
      </c>
      <c r="K46" s="11" t="str">
        <f>_xlfn.IFNA(VLOOKUP(analysis_table[well_no_zero],control_wells,2,FALSE), "No")</f>
        <v>No</v>
      </c>
      <c r="L4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6" s="38" t="str">
        <f ca="1">IF(analysis_table[is_well_empy], "", VLOOKUP(analysis_table[test_result_auto],result_symbols_auto,2,FALSE))</f>
        <v/>
      </c>
      <c r="O46" s="96"/>
      <c r="P46" s="38" t="b">
        <f>analysis_table[user_result]&lt;&gt; ""</f>
        <v>0</v>
      </c>
      <c r="Q46" s="38" t="str">
        <f>IF(analysis_table[test_status], IF(analysis_table[user_result]="CORRETTO", analysis_table[test_symbol_auto], VLOOKUP(analysis_table[user_result],result_symbols,2,FALSE)), "")</f>
        <v/>
      </c>
      <c r="R46" s="38" t="str">
        <f t="array" aca="1" ref="R4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6" s="38" t="b">
        <f ca="1">IF(OR(analysis_table[is_well_empy]=TRUE, analysis_table[final_result]=""), FALSE, VLOOKUP(analysis_table[final_result],is_result_to_send,2,FALSE))</f>
        <v>0</v>
      </c>
      <c r="T4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6" s="38" t="str">
        <f t="array" aca="1" ref="U4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6" s="38" t="s">
        <v>389</v>
      </c>
      <c r="W46" s="38">
        <v>1</v>
      </c>
    </row>
    <row r="47" spans="1:23" x14ac:dyDescent="0.15">
      <c r="A47" s="3" t="s">
        <v>140</v>
      </c>
      <c r="B47" s="3" t="str">
        <f>MID(analysis_table[well_no_zero],1,1) &amp; IF(VALUE(MID(analysis_table[well_no_zero],2,2)) &lt; 10, "0", "") &amp; MID(analysis_table[well_no_zero],2,2)</f>
        <v>D10</v>
      </c>
      <c r="C47" s="3" t="str">
        <f>IF('Layout piastra'!$B$2 &lt;&gt; "", 'Layout piastra'!$B$2, "")</f>
        <v/>
      </c>
      <c r="D4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7" s="3" t="str">
        <f>VLOOKUP(_xlfn.NUMBERVALUE(MID(analysis_table[well_no_zero], 2, 2)), column_to_batch, 2, FALSE)</f>
        <v>C</v>
      </c>
      <c r="F47" s="11" t="str">
        <f t="array" ref="F4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7" s="11" t="str">
        <f t="array" ref="G4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7" s="11" t="str">
        <f t="array" ref="H4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7" s="11" t="b">
        <f>NOT(ISNA(VLOOKUP(analysis_table[well_no_zero],control_wells,2,FALSE)))</f>
        <v>0</v>
      </c>
      <c r="K47" s="11" t="str">
        <f>_xlfn.IFNA(VLOOKUP(analysis_table[well_no_zero],control_wells,2,FALSE), "No")</f>
        <v>No</v>
      </c>
      <c r="L4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7" s="38" t="str">
        <f ca="1">IF(analysis_table[is_well_empy], "", VLOOKUP(analysis_table[test_result_auto],result_symbols_auto,2,FALSE))</f>
        <v/>
      </c>
      <c r="O47" s="96"/>
      <c r="P47" s="38" t="b">
        <f>analysis_table[user_result]&lt;&gt; ""</f>
        <v>0</v>
      </c>
      <c r="Q47" s="38" t="str">
        <f>IF(analysis_table[test_status], IF(analysis_table[user_result]="CORRETTO", analysis_table[test_symbol_auto], VLOOKUP(analysis_table[user_result],result_symbols,2,FALSE)), "")</f>
        <v/>
      </c>
      <c r="R47" s="38" t="str">
        <f t="array" aca="1" ref="R4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7" s="38" t="b">
        <f ca="1">IF(OR(analysis_table[is_well_empy]=TRUE, analysis_table[final_result]=""), FALSE, VLOOKUP(analysis_table[final_result],is_result_to_send,2,FALSE))</f>
        <v>0</v>
      </c>
      <c r="T4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7" s="38" t="str">
        <f t="array" aca="1" ref="U4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7" s="38" t="s">
        <v>389</v>
      </c>
      <c r="W47" s="38">
        <v>1</v>
      </c>
    </row>
    <row r="48" spans="1:23" x14ac:dyDescent="0.15">
      <c r="A48" s="3" t="s">
        <v>148</v>
      </c>
      <c r="B48" s="3" t="str">
        <f>MID(analysis_table[well_no_zero],1,1) &amp; IF(VALUE(MID(analysis_table[well_no_zero],2,2)) &lt; 10, "0", "") &amp; MID(analysis_table[well_no_zero],2,2)</f>
        <v>D11</v>
      </c>
      <c r="C48" s="3" t="str">
        <f>IF('Layout piastra'!$B$2 &lt;&gt; "", 'Layout piastra'!$B$2, "")</f>
        <v/>
      </c>
      <c r="D4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8" s="3" t="str">
        <f>VLOOKUP(_xlfn.NUMBERVALUE(MID(analysis_table[well_no_zero], 2, 2)), column_to_batch, 2, FALSE)</f>
        <v>C</v>
      </c>
      <c r="F48" s="11" t="str">
        <f t="array" ref="F4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8" s="11" t="str">
        <f t="array" ref="G4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8" s="11" t="str">
        <f t="array" ref="H4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8" s="11" t="b">
        <f>NOT(ISNA(VLOOKUP(analysis_table[well_no_zero],control_wells,2,FALSE)))</f>
        <v>0</v>
      </c>
      <c r="K48" s="11" t="str">
        <f>_xlfn.IFNA(VLOOKUP(analysis_table[well_no_zero],control_wells,2,FALSE), "No")</f>
        <v>No</v>
      </c>
      <c r="L4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8" s="38" t="str">
        <f ca="1">IF(analysis_table[is_well_empy], "", VLOOKUP(analysis_table[test_result_auto],result_symbols_auto,2,FALSE))</f>
        <v/>
      </c>
      <c r="O48" s="96"/>
      <c r="P48" s="38" t="b">
        <f>analysis_table[user_result]&lt;&gt; ""</f>
        <v>0</v>
      </c>
      <c r="Q48" s="38" t="str">
        <f>IF(analysis_table[test_status], IF(analysis_table[user_result]="CORRETTO", analysis_table[test_symbol_auto], VLOOKUP(analysis_table[user_result],result_symbols,2,FALSE)), "")</f>
        <v/>
      </c>
      <c r="R48" s="38" t="str">
        <f t="array" aca="1" ref="R4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8" s="38" t="b">
        <f ca="1">IF(OR(analysis_table[is_well_empy]=TRUE, analysis_table[final_result]=""), FALSE, VLOOKUP(analysis_table[final_result],is_result_to_send,2,FALSE))</f>
        <v>0</v>
      </c>
      <c r="T4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8" s="38" t="str">
        <f t="array" aca="1" ref="U4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8" s="38" t="s">
        <v>389</v>
      </c>
      <c r="W48" s="38">
        <v>1</v>
      </c>
    </row>
    <row r="49" spans="1:23" x14ac:dyDescent="0.15">
      <c r="A49" s="3" t="s">
        <v>156</v>
      </c>
      <c r="B49" s="3" t="str">
        <f>MID(analysis_table[well_no_zero],1,1) &amp; IF(VALUE(MID(analysis_table[well_no_zero],2,2)) &lt; 10, "0", "") &amp; MID(analysis_table[well_no_zero],2,2)</f>
        <v>D12</v>
      </c>
      <c r="C49" s="3" t="str">
        <f>IF('Layout piastra'!$B$2 &lt;&gt; "", 'Layout piastra'!$B$2, "")</f>
        <v/>
      </c>
      <c r="D4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49" s="3" t="str">
        <f>VLOOKUP(_xlfn.NUMBERVALUE(MID(analysis_table[well_no_zero], 2, 2)), column_to_batch, 2, FALSE)</f>
        <v>C</v>
      </c>
      <c r="F49" s="11" t="str">
        <f t="array" ref="F4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49" s="11" t="str">
        <f t="array" ref="G4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49" s="11" t="str">
        <f t="array" ref="H4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4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49" s="11" t="b">
        <f>NOT(ISNA(VLOOKUP(analysis_table[well_no_zero],control_wells,2,FALSE)))</f>
        <v>0</v>
      </c>
      <c r="K49" s="11" t="str">
        <f>_xlfn.IFNA(VLOOKUP(analysis_table[well_no_zero],control_wells,2,FALSE), "No")</f>
        <v>No</v>
      </c>
      <c r="L4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4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49" s="38" t="str">
        <f ca="1">IF(analysis_table[is_well_empy], "", VLOOKUP(analysis_table[test_result_auto],result_symbols_auto,2,FALSE))</f>
        <v/>
      </c>
      <c r="O49" s="96"/>
      <c r="P49" s="38" t="b">
        <f>analysis_table[user_result]&lt;&gt; ""</f>
        <v>0</v>
      </c>
      <c r="Q49" s="38" t="str">
        <f>IF(analysis_table[test_status], IF(analysis_table[user_result]="CORRETTO", analysis_table[test_symbol_auto], VLOOKUP(analysis_table[user_result],result_symbols,2,FALSE)), "")</f>
        <v/>
      </c>
      <c r="R49" s="38" t="str">
        <f t="array" aca="1" ref="R4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49" s="38" t="b">
        <f ca="1">IF(OR(analysis_table[is_well_empy]=TRUE, analysis_table[final_result]=""), FALSE, VLOOKUP(analysis_table[final_result],is_result_to_send,2,FALSE))</f>
        <v>0</v>
      </c>
      <c r="T4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49" s="38" t="str">
        <f t="array" aca="1" ref="U4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49" s="38" t="s">
        <v>389</v>
      </c>
      <c r="W49" s="38">
        <v>1</v>
      </c>
    </row>
    <row r="50" spans="1:23" x14ac:dyDescent="0.15">
      <c r="A50" s="3" t="s">
        <v>225</v>
      </c>
      <c r="B50" s="3" t="str">
        <f>MID(analysis_table[well_no_zero],1,1) &amp; IF(VALUE(MID(analysis_table[well_no_zero],2,2)) &lt; 10, "0", "") &amp; MID(analysis_table[well_no_zero],2,2)</f>
        <v>E01</v>
      </c>
      <c r="C50" s="3" t="str">
        <f>IF('Layout piastra'!$B$2 &lt;&gt; "", 'Layout piastra'!$B$2, "")</f>
        <v/>
      </c>
      <c r="D5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0" s="3" t="str">
        <f>VLOOKUP(_xlfn.NUMBERVALUE(MID(analysis_table[well_no_zero], 2, 2)), column_to_batch, 2, FALSE)</f>
        <v>A</v>
      </c>
      <c r="F50" s="11" t="str">
        <f t="array" ref="F5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0" s="11" t="str">
        <f t="array" ref="G5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0" s="11" t="str">
        <f t="array" ref="H5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0" s="11" t="b">
        <f>NOT(ISNA(VLOOKUP(analysis_table[well_no_zero],control_wells,2,FALSE)))</f>
        <v>0</v>
      </c>
      <c r="K50" s="11" t="str">
        <f>_xlfn.IFNA(VLOOKUP(analysis_table[well_no_zero],control_wells,2,FALSE), "No")</f>
        <v>No</v>
      </c>
      <c r="L5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0" s="38" t="str">
        <f ca="1">IF(analysis_table[is_well_empy], "", VLOOKUP(analysis_table[test_result_auto],result_symbols_auto,2,FALSE))</f>
        <v/>
      </c>
      <c r="O50" s="96"/>
      <c r="P50" s="38" t="b">
        <f>analysis_table[user_result]&lt;&gt; ""</f>
        <v>0</v>
      </c>
      <c r="Q50" s="38" t="str">
        <f>IF(analysis_table[test_status], IF(analysis_table[user_result]="CORRETTO", analysis_table[test_symbol_auto], VLOOKUP(analysis_table[user_result],result_symbols,2,FALSE)), "")</f>
        <v/>
      </c>
      <c r="R50" s="38" t="str">
        <f t="array" aca="1" ref="R5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0" s="38" t="b">
        <f ca="1">IF(OR(analysis_table[is_well_empy]=TRUE, analysis_table[final_result]=""), FALSE, VLOOKUP(analysis_table[final_result],is_result_to_send,2,FALSE))</f>
        <v>0</v>
      </c>
      <c r="T5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0" s="38" t="str">
        <f t="array" aca="1" ref="U5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0" s="38" t="s">
        <v>389</v>
      </c>
      <c r="W50" s="38">
        <v>1</v>
      </c>
    </row>
    <row r="51" spans="1:23" x14ac:dyDescent="0.15">
      <c r="A51" s="3" t="s">
        <v>226</v>
      </c>
      <c r="B51" s="3" t="str">
        <f>MID(analysis_table[well_no_zero],1,1) &amp; IF(VALUE(MID(analysis_table[well_no_zero],2,2)) &lt; 10, "0", "") &amp; MID(analysis_table[well_no_zero],2,2)</f>
        <v>E02</v>
      </c>
      <c r="C51" s="3" t="str">
        <f>IF('Layout piastra'!$B$2 &lt;&gt; "", 'Layout piastra'!$B$2, "")</f>
        <v/>
      </c>
      <c r="D5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1" s="3" t="str">
        <f>VLOOKUP(_xlfn.NUMBERVALUE(MID(analysis_table[well_no_zero], 2, 2)), column_to_batch, 2, FALSE)</f>
        <v>A</v>
      </c>
      <c r="F51" s="11" t="str">
        <f t="array" ref="F5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1" s="11" t="str">
        <f t="array" ref="G5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1" s="11" t="str">
        <f t="array" ref="H5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1" s="11" t="b">
        <f>NOT(ISNA(VLOOKUP(analysis_table[well_no_zero],control_wells,2,FALSE)))</f>
        <v>0</v>
      </c>
      <c r="K51" s="11" t="str">
        <f>_xlfn.IFNA(VLOOKUP(analysis_table[well_no_zero],control_wells,2,FALSE), "No")</f>
        <v>No</v>
      </c>
      <c r="L5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1" s="38" t="str">
        <f ca="1">IF(analysis_table[is_well_empy], "", VLOOKUP(analysis_table[test_result_auto],result_symbols_auto,2,FALSE))</f>
        <v/>
      </c>
      <c r="O51" s="96"/>
      <c r="P51" s="38" t="b">
        <f>analysis_table[user_result]&lt;&gt; ""</f>
        <v>0</v>
      </c>
      <c r="Q51" s="38" t="str">
        <f>IF(analysis_table[test_status], IF(analysis_table[user_result]="CORRETTO", analysis_table[test_symbol_auto], VLOOKUP(analysis_table[user_result],result_symbols,2,FALSE)), "")</f>
        <v/>
      </c>
      <c r="R51" s="38" t="str">
        <f t="array" aca="1" ref="R5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1" s="38" t="b">
        <f ca="1">IF(OR(analysis_table[is_well_empy]=TRUE, analysis_table[final_result]=""), FALSE, VLOOKUP(analysis_table[final_result],is_result_to_send,2,FALSE))</f>
        <v>0</v>
      </c>
      <c r="T5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1" s="38" t="str">
        <f t="array" aca="1" ref="U5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1" s="38" t="s">
        <v>389</v>
      </c>
      <c r="W51" s="38">
        <v>1</v>
      </c>
    </row>
    <row r="52" spans="1:23" x14ac:dyDescent="0.15">
      <c r="A52" s="3" t="s">
        <v>227</v>
      </c>
      <c r="B52" s="3" t="str">
        <f>MID(analysis_table[well_no_zero],1,1) &amp; IF(VALUE(MID(analysis_table[well_no_zero],2,2)) &lt; 10, "0", "") &amp; MID(analysis_table[well_no_zero],2,2)</f>
        <v>E03</v>
      </c>
      <c r="C52" s="3" t="str">
        <f>IF('Layout piastra'!$B$2 &lt;&gt; "", 'Layout piastra'!$B$2, "")</f>
        <v/>
      </c>
      <c r="D5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2" s="3" t="str">
        <f>VLOOKUP(_xlfn.NUMBERVALUE(MID(analysis_table[well_no_zero], 2, 2)), column_to_batch, 2, FALSE)</f>
        <v>A</v>
      </c>
      <c r="F52" s="11" t="str">
        <f t="array" ref="F5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2" s="11" t="str">
        <f t="array" ref="G5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2" s="11" t="str">
        <f t="array" ref="H5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2" s="11" t="b">
        <f>NOT(ISNA(VLOOKUP(analysis_table[well_no_zero],control_wells,2,FALSE)))</f>
        <v>0</v>
      </c>
      <c r="K52" s="11" t="str">
        <f>_xlfn.IFNA(VLOOKUP(analysis_table[well_no_zero],control_wells,2,FALSE), "No")</f>
        <v>No</v>
      </c>
      <c r="L5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2" s="38" t="str">
        <f ca="1">IF(analysis_table[is_well_empy], "", VLOOKUP(analysis_table[test_result_auto],result_symbols_auto,2,FALSE))</f>
        <v/>
      </c>
      <c r="O52" s="96"/>
      <c r="P52" s="38" t="b">
        <f>analysis_table[user_result]&lt;&gt; ""</f>
        <v>0</v>
      </c>
      <c r="Q52" s="38" t="str">
        <f>IF(analysis_table[test_status], IF(analysis_table[user_result]="CORRETTO", analysis_table[test_symbol_auto], VLOOKUP(analysis_table[user_result],result_symbols,2,FALSE)), "")</f>
        <v/>
      </c>
      <c r="R52" s="38" t="str">
        <f t="array" aca="1" ref="R5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2" s="38" t="b">
        <f ca="1">IF(OR(analysis_table[is_well_empy]=TRUE, analysis_table[final_result]=""), FALSE, VLOOKUP(analysis_table[final_result],is_result_to_send,2,FALSE))</f>
        <v>0</v>
      </c>
      <c r="T5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2" s="38" t="str">
        <f t="array" aca="1" ref="U5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2" s="38" t="s">
        <v>389</v>
      </c>
      <c r="W52" s="38">
        <v>1</v>
      </c>
    </row>
    <row r="53" spans="1:23" x14ac:dyDescent="0.15">
      <c r="A53" s="3" t="s">
        <v>228</v>
      </c>
      <c r="B53" s="3" t="str">
        <f>MID(analysis_table[well_no_zero],1,1) &amp; IF(VALUE(MID(analysis_table[well_no_zero],2,2)) &lt; 10, "0", "") &amp; MID(analysis_table[well_no_zero],2,2)</f>
        <v>E04</v>
      </c>
      <c r="C53" s="3" t="str">
        <f>IF('Layout piastra'!$B$2 &lt;&gt; "", 'Layout piastra'!$B$2, "")</f>
        <v/>
      </c>
      <c r="D5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3" s="3" t="str">
        <f>VLOOKUP(_xlfn.NUMBERVALUE(MID(analysis_table[well_no_zero], 2, 2)), column_to_batch, 2, FALSE)</f>
        <v>A</v>
      </c>
      <c r="F53" s="11" t="str">
        <f t="array" ref="F5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3" s="11" t="str">
        <f t="array" ref="G5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3" s="11" t="str">
        <f t="array" ref="H5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3" s="11" t="b">
        <f>NOT(ISNA(VLOOKUP(analysis_table[well_no_zero],control_wells,2,FALSE)))</f>
        <v>0</v>
      </c>
      <c r="K53" s="11" t="str">
        <f>_xlfn.IFNA(VLOOKUP(analysis_table[well_no_zero],control_wells,2,FALSE), "No")</f>
        <v>No</v>
      </c>
      <c r="L5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3" s="38" t="str">
        <f ca="1">IF(analysis_table[is_well_empy], "", VLOOKUP(analysis_table[test_result_auto],result_symbols_auto,2,FALSE))</f>
        <v/>
      </c>
      <c r="O53" s="96"/>
      <c r="P53" s="38" t="b">
        <f>analysis_table[user_result]&lt;&gt; ""</f>
        <v>0</v>
      </c>
      <c r="Q53" s="38" t="str">
        <f>IF(analysis_table[test_status], IF(analysis_table[user_result]="CORRETTO", analysis_table[test_symbol_auto], VLOOKUP(analysis_table[user_result],result_symbols,2,FALSE)), "")</f>
        <v/>
      </c>
      <c r="R53" s="38" t="str">
        <f t="array" aca="1" ref="R5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3" s="38" t="b">
        <f ca="1">IF(OR(analysis_table[is_well_empy]=TRUE, analysis_table[final_result]=""), FALSE, VLOOKUP(analysis_table[final_result],is_result_to_send,2,FALSE))</f>
        <v>0</v>
      </c>
      <c r="T5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3" s="38" t="str">
        <f t="array" aca="1" ref="U5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3" s="38" t="s">
        <v>389</v>
      </c>
      <c r="W53" s="38">
        <v>1</v>
      </c>
    </row>
    <row r="54" spans="1:23" x14ac:dyDescent="0.15">
      <c r="A54" s="3" t="s">
        <v>229</v>
      </c>
      <c r="B54" s="3" t="str">
        <f>MID(analysis_table[well_no_zero],1,1) &amp; IF(VALUE(MID(analysis_table[well_no_zero],2,2)) &lt; 10, "0", "") &amp; MID(analysis_table[well_no_zero],2,2)</f>
        <v>E05</v>
      </c>
      <c r="C54" s="3" t="str">
        <f>IF('Layout piastra'!$B$2 &lt;&gt; "", 'Layout piastra'!$B$2, "")</f>
        <v/>
      </c>
      <c r="D5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4" s="3" t="str">
        <f>VLOOKUP(_xlfn.NUMBERVALUE(MID(analysis_table[well_no_zero], 2, 2)), column_to_batch, 2, FALSE)</f>
        <v>B</v>
      </c>
      <c r="F54" s="11" t="str">
        <f t="array" ref="F5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4" s="11" t="str">
        <f t="array" ref="G5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4" s="11" t="str">
        <f t="array" ref="H5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4" s="11" t="b">
        <f>NOT(ISNA(VLOOKUP(analysis_table[well_no_zero],control_wells,2,FALSE)))</f>
        <v>0</v>
      </c>
      <c r="K54" s="11" t="str">
        <f>_xlfn.IFNA(VLOOKUP(analysis_table[well_no_zero],control_wells,2,FALSE), "No")</f>
        <v>No</v>
      </c>
      <c r="L5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4" s="38" t="str">
        <f ca="1">IF(analysis_table[is_well_empy], "", VLOOKUP(analysis_table[test_result_auto],result_symbols_auto,2,FALSE))</f>
        <v/>
      </c>
      <c r="O54" s="96"/>
      <c r="P54" s="38" t="b">
        <f>analysis_table[user_result]&lt;&gt; ""</f>
        <v>0</v>
      </c>
      <c r="Q54" s="38" t="str">
        <f>IF(analysis_table[test_status], IF(analysis_table[user_result]="CORRETTO", analysis_table[test_symbol_auto], VLOOKUP(analysis_table[user_result],result_symbols,2,FALSE)), "")</f>
        <v/>
      </c>
      <c r="R54" s="38" t="str">
        <f t="array" aca="1" ref="R5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4" s="38" t="b">
        <f ca="1">IF(OR(analysis_table[is_well_empy]=TRUE, analysis_table[final_result]=""), FALSE, VLOOKUP(analysis_table[final_result],is_result_to_send,2,FALSE))</f>
        <v>0</v>
      </c>
      <c r="T5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4" s="38" t="str">
        <f t="array" aca="1" ref="U5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4" s="38" t="s">
        <v>389</v>
      </c>
      <c r="W54" s="38">
        <v>1</v>
      </c>
    </row>
    <row r="55" spans="1:23" x14ac:dyDescent="0.15">
      <c r="A55" s="3" t="s">
        <v>230</v>
      </c>
      <c r="B55" s="3" t="str">
        <f>MID(analysis_table[well_no_zero],1,1) &amp; IF(VALUE(MID(analysis_table[well_no_zero],2,2)) &lt; 10, "0", "") &amp; MID(analysis_table[well_no_zero],2,2)</f>
        <v>E06</v>
      </c>
      <c r="C55" s="3" t="str">
        <f>IF('Layout piastra'!$B$2 &lt;&gt; "", 'Layout piastra'!$B$2, "")</f>
        <v/>
      </c>
      <c r="D5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5" s="3" t="str">
        <f>VLOOKUP(_xlfn.NUMBERVALUE(MID(analysis_table[well_no_zero], 2, 2)), column_to_batch, 2, FALSE)</f>
        <v>B</v>
      </c>
      <c r="F55" s="11" t="str">
        <f t="array" ref="F5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5" s="11" t="str">
        <f t="array" ref="G5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5" s="11" t="str">
        <f t="array" ref="H5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5" s="11" t="b">
        <f>NOT(ISNA(VLOOKUP(analysis_table[well_no_zero],control_wells,2,FALSE)))</f>
        <v>0</v>
      </c>
      <c r="K55" s="11" t="str">
        <f>_xlfn.IFNA(VLOOKUP(analysis_table[well_no_zero],control_wells,2,FALSE), "No")</f>
        <v>No</v>
      </c>
      <c r="L5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5" s="38" t="str">
        <f ca="1">IF(analysis_table[is_well_empy], "", VLOOKUP(analysis_table[test_result_auto],result_symbols_auto,2,FALSE))</f>
        <v/>
      </c>
      <c r="O55" s="96"/>
      <c r="P55" s="38" t="b">
        <f>analysis_table[user_result]&lt;&gt; ""</f>
        <v>0</v>
      </c>
      <c r="Q55" s="38" t="str">
        <f>IF(analysis_table[test_status], IF(analysis_table[user_result]="CORRETTO", analysis_table[test_symbol_auto], VLOOKUP(analysis_table[user_result],result_symbols,2,FALSE)), "")</f>
        <v/>
      </c>
      <c r="R55" s="38" t="str">
        <f t="array" aca="1" ref="R5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5" s="38" t="b">
        <f ca="1">IF(OR(analysis_table[is_well_empy]=TRUE, analysis_table[final_result]=""), FALSE, VLOOKUP(analysis_table[final_result],is_result_to_send,2,FALSE))</f>
        <v>0</v>
      </c>
      <c r="T5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5" s="38" t="str">
        <f t="array" aca="1" ref="U5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5" s="38" t="s">
        <v>389</v>
      </c>
      <c r="W55" s="38">
        <v>1</v>
      </c>
    </row>
    <row r="56" spans="1:23" x14ac:dyDescent="0.15">
      <c r="A56" s="3" t="s">
        <v>231</v>
      </c>
      <c r="B56" s="3" t="str">
        <f>MID(analysis_table[well_no_zero],1,1) &amp; IF(VALUE(MID(analysis_table[well_no_zero],2,2)) &lt; 10, "0", "") &amp; MID(analysis_table[well_no_zero],2,2)</f>
        <v>E07</v>
      </c>
      <c r="C56" s="3" t="str">
        <f>IF('Layout piastra'!$B$2 &lt;&gt; "", 'Layout piastra'!$B$2, "")</f>
        <v/>
      </c>
      <c r="D5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6" s="3" t="str">
        <f>VLOOKUP(_xlfn.NUMBERVALUE(MID(analysis_table[well_no_zero], 2, 2)), column_to_batch, 2, FALSE)</f>
        <v>B</v>
      </c>
      <c r="F56" s="11" t="str">
        <f t="array" ref="F5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6" s="11" t="str">
        <f t="array" ref="G5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6" s="11" t="str">
        <f t="array" ref="H5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6" s="11" t="b">
        <f>NOT(ISNA(VLOOKUP(analysis_table[well_no_zero],control_wells,2,FALSE)))</f>
        <v>0</v>
      </c>
      <c r="K56" s="11" t="str">
        <f>_xlfn.IFNA(VLOOKUP(analysis_table[well_no_zero],control_wells,2,FALSE), "No")</f>
        <v>No</v>
      </c>
      <c r="L5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6" s="38" t="str">
        <f ca="1">IF(analysis_table[is_well_empy], "", VLOOKUP(analysis_table[test_result_auto],result_symbols_auto,2,FALSE))</f>
        <v/>
      </c>
      <c r="O56" s="96"/>
      <c r="P56" s="38" t="b">
        <f>analysis_table[user_result]&lt;&gt; ""</f>
        <v>0</v>
      </c>
      <c r="Q56" s="38" t="str">
        <f>IF(analysis_table[test_status], IF(analysis_table[user_result]="CORRETTO", analysis_table[test_symbol_auto], VLOOKUP(analysis_table[user_result],result_symbols,2,FALSE)), "")</f>
        <v/>
      </c>
      <c r="R56" s="38" t="str">
        <f t="array" aca="1" ref="R5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6" s="38" t="b">
        <f ca="1">IF(OR(analysis_table[is_well_empy]=TRUE, analysis_table[final_result]=""), FALSE, VLOOKUP(analysis_table[final_result],is_result_to_send,2,FALSE))</f>
        <v>0</v>
      </c>
      <c r="T5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6" s="38" t="str">
        <f t="array" aca="1" ref="U5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6" s="38" t="s">
        <v>389</v>
      </c>
      <c r="W56" s="38">
        <v>1</v>
      </c>
    </row>
    <row r="57" spans="1:23" x14ac:dyDescent="0.15">
      <c r="A57" s="3" t="s">
        <v>232</v>
      </c>
      <c r="B57" s="3" t="str">
        <f>MID(analysis_table[well_no_zero],1,1) &amp; IF(VALUE(MID(analysis_table[well_no_zero],2,2)) &lt; 10, "0", "") &amp; MID(analysis_table[well_no_zero],2,2)</f>
        <v>E08</v>
      </c>
      <c r="C57" s="3" t="str">
        <f>IF('Layout piastra'!$B$2 &lt;&gt; "", 'Layout piastra'!$B$2, "")</f>
        <v/>
      </c>
      <c r="D5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7" s="3" t="str">
        <f>VLOOKUP(_xlfn.NUMBERVALUE(MID(analysis_table[well_no_zero], 2, 2)), column_to_batch, 2, FALSE)</f>
        <v>B</v>
      </c>
      <c r="F57" s="11" t="str">
        <f t="array" ref="F5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7" s="11" t="str">
        <f t="array" ref="G5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7" s="11" t="str">
        <f t="array" ref="H5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7" s="11" t="b">
        <f>NOT(ISNA(VLOOKUP(analysis_table[well_no_zero],control_wells,2,FALSE)))</f>
        <v>0</v>
      </c>
      <c r="K57" s="11" t="str">
        <f>_xlfn.IFNA(VLOOKUP(analysis_table[well_no_zero],control_wells,2,FALSE), "No")</f>
        <v>No</v>
      </c>
      <c r="L5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7" s="38" t="str">
        <f ca="1">IF(analysis_table[is_well_empy], "", VLOOKUP(analysis_table[test_result_auto],result_symbols_auto,2,FALSE))</f>
        <v/>
      </c>
      <c r="O57" s="96"/>
      <c r="P57" s="38" t="b">
        <f>analysis_table[user_result]&lt;&gt; ""</f>
        <v>0</v>
      </c>
      <c r="Q57" s="38" t="str">
        <f>IF(analysis_table[test_status], IF(analysis_table[user_result]="CORRETTO", analysis_table[test_symbol_auto], VLOOKUP(analysis_table[user_result],result_symbols,2,FALSE)), "")</f>
        <v/>
      </c>
      <c r="R57" s="38" t="str">
        <f t="array" aca="1" ref="R5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7" s="38" t="b">
        <f ca="1">IF(OR(analysis_table[is_well_empy]=TRUE, analysis_table[final_result]=""), FALSE, VLOOKUP(analysis_table[final_result],is_result_to_send,2,FALSE))</f>
        <v>0</v>
      </c>
      <c r="T5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7" s="38" t="str">
        <f t="array" aca="1" ref="U5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7" s="38" t="s">
        <v>389</v>
      </c>
      <c r="W57" s="38">
        <v>1</v>
      </c>
    </row>
    <row r="58" spans="1:23" x14ac:dyDescent="0.15">
      <c r="A58" s="3" t="s">
        <v>233</v>
      </c>
      <c r="B58" s="3" t="str">
        <f>MID(analysis_table[well_no_zero],1,1) &amp; IF(VALUE(MID(analysis_table[well_no_zero],2,2)) &lt; 10, "0", "") &amp; MID(analysis_table[well_no_zero],2,2)</f>
        <v>E09</v>
      </c>
      <c r="C58" s="3" t="str">
        <f>IF('Layout piastra'!$B$2 &lt;&gt; "", 'Layout piastra'!$B$2, "")</f>
        <v/>
      </c>
      <c r="D5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8" s="3" t="str">
        <f>VLOOKUP(_xlfn.NUMBERVALUE(MID(analysis_table[well_no_zero], 2, 2)), column_to_batch, 2, FALSE)</f>
        <v>C</v>
      </c>
      <c r="F58" s="11" t="str">
        <f t="array" ref="F5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8" s="11" t="str">
        <f t="array" ref="G5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8" s="11" t="str">
        <f t="array" ref="H5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8" s="11" t="b">
        <f>NOT(ISNA(VLOOKUP(analysis_table[well_no_zero],control_wells,2,FALSE)))</f>
        <v>0</v>
      </c>
      <c r="K58" s="11" t="str">
        <f>_xlfn.IFNA(VLOOKUP(analysis_table[well_no_zero],control_wells,2,FALSE), "No")</f>
        <v>No</v>
      </c>
      <c r="L5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8" s="38" t="str">
        <f ca="1">IF(analysis_table[is_well_empy], "", VLOOKUP(analysis_table[test_result_auto],result_symbols_auto,2,FALSE))</f>
        <v/>
      </c>
      <c r="O58" s="96"/>
      <c r="P58" s="38" t="b">
        <f>analysis_table[user_result]&lt;&gt; ""</f>
        <v>0</v>
      </c>
      <c r="Q58" s="38" t="str">
        <f>IF(analysis_table[test_status], IF(analysis_table[user_result]="CORRETTO", analysis_table[test_symbol_auto], VLOOKUP(analysis_table[user_result],result_symbols,2,FALSE)), "")</f>
        <v/>
      </c>
      <c r="R58" s="38" t="str">
        <f t="array" aca="1" ref="R5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8" s="38" t="b">
        <f ca="1">IF(OR(analysis_table[is_well_empy]=TRUE, analysis_table[final_result]=""), FALSE, VLOOKUP(analysis_table[final_result],is_result_to_send,2,FALSE))</f>
        <v>0</v>
      </c>
      <c r="T5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8" s="38" t="str">
        <f t="array" aca="1" ref="U5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8" s="38" t="s">
        <v>389</v>
      </c>
      <c r="W58" s="38">
        <v>1</v>
      </c>
    </row>
    <row r="59" spans="1:23" x14ac:dyDescent="0.15">
      <c r="A59" s="3" t="s">
        <v>141</v>
      </c>
      <c r="B59" s="3" t="str">
        <f>MID(analysis_table[well_no_zero],1,1) &amp; IF(VALUE(MID(analysis_table[well_no_zero],2,2)) &lt; 10, "0", "") &amp; MID(analysis_table[well_no_zero],2,2)</f>
        <v>E10</v>
      </c>
      <c r="C59" s="3" t="str">
        <f>IF('Layout piastra'!$B$2 &lt;&gt; "", 'Layout piastra'!$B$2, "")</f>
        <v/>
      </c>
      <c r="D5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59" s="3" t="str">
        <f>VLOOKUP(_xlfn.NUMBERVALUE(MID(analysis_table[well_no_zero], 2, 2)), column_to_batch, 2, FALSE)</f>
        <v>C</v>
      </c>
      <c r="F59" s="11" t="str">
        <f t="array" ref="F5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59" s="11" t="str">
        <f t="array" ref="G5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59" s="11" t="str">
        <f t="array" ref="H5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5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59" s="11" t="b">
        <f>NOT(ISNA(VLOOKUP(analysis_table[well_no_zero],control_wells,2,FALSE)))</f>
        <v>0</v>
      </c>
      <c r="K59" s="11" t="str">
        <f>_xlfn.IFNA(VLOOKUP(analysis_table[well_no_zero],control_wells,2,FALSE), "No")</f>
        <v>No</v>
      </c>
      <c r="L5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5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59" s="38" t="str">
        <f ca="1">IF(analysis_table[is_well_empy], "", VLOOKUP(analysis_table[test_result_auto],result_symbols_auto,2,FALSE))</f>
        <v/>
      </c>
      <c r="O59" s="96"/>
      <c r="P59" s="38" t="b">
        <f>analysis_table[user_result]&lt;&gt; ""</f>
        <v>0</v>
      </c>
      <c r="Q59" s="38" t="str">
        <f>IF(analysis_table[test_status], IF(analysis_table[user_result]="CORRETTO", analysis_table[test_symbol_auto], VLOOKUP(analysis_table[user_result],result_symbols,2,FALSE)), "")</f>
        <v/>
      </c>
      <c r="R59" s="38" t="str">
        <f t="array" aca="1" ref="R5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59" s="38" t="b">
        <f ca="1">IF(OR(analysis_table[is_well_empy]=TRUE, analysis_table[final_result]=""), FALSE, VLOOKUP(analysis_table[final_result],is_result_to_send,2,FALSE))</f>
        <v>0</v>
      </c>
      <c r="T5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59" s="38" t="str">
        <f t="array" aca="1" ref="U5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59" s="38" t="s">
        <v>389</v>
      </c>
      <c r="W59" s="38">
        <v>1</v>
      </c>
    </row>
    <row r="60" spans="1:23" x14ac:dyDescent="0.15">
      <c r="A60" s="3" t="s">
        <v>149</v>
      </c>
      <c r="B60" s="3" t="str">
        <f>MID(analysis_table[well_no_zero],1,1) &amp; IF(VALUE(MID(analysis_table[well_no_zero],2,2)) &lt; 10, "0", "") &amp; MID(analysis_table[well_no_zero],2,2)</f>
        <v>E11</v>
      </c>
      <c r="C60" s="3" t="str">
        <f>IF('Layout piastra'!$B$2 &lt;&gt; "", 'Layout piastra'!$B$2, "")</f>
        <v/>
      </c>
      <c r="D6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0" s="3" t="str">
        <f>VLOOKUP(_xlfn.NUMBERVALUE(MID(analysis_table[well_no_zero], 2, 2)), column_to_batch, 2, FALSE)</f>
        <v>C</v>
      </c>
      <c r="F60" s="11" t="str">
        <f t="array" ref="F6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0" s="11" t="str">
        <f t="array" ref="G6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0" s="11" t="str">
        <f t="array" ref="H6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0" s="11" t="b">
        <f>NOT(ISNA(VLOOKUP(analysis_table[well_no_zero],control_wells,2,FALSE)))</f>
        <v>0</v>
      </c>
      <c r="K60" s="11" t="str">
        <f>_xlfn.IFNA(VLOOKUP(analysis_table[well_no_zero],control_wells,2,FALSE), "No")</f>
        <v>No</v>
      </c>
      <c r="L6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0" s="38" t="str">
        <f ca="1">IF(analysis_table[is_well_empy], "", VLOOKUP(analysis_table[test_result_auto],result_symbols_auto,2,FALSE))</f>
        <v/>
      </c>
      <c r="O60" s="96"/>
      <c r="P60" s="38" t="b">
        <f>analysis_table[user_result]&lt;&gt; ""</f>
        <v>0</v>
      </c>
      <c r="Q60" s="38" t="str">
        <f>IF(analysis_table[test_status], IF(analysis_table[user_result]="CORRETTO", analysis_table[test_symbol_auto], VLOOKUP(analysis_table[user_result],result_symbols,2,FALSE)), "")</f>
        <v/>
      </c>
      <c r="R60" s="38" t="str">
        <f t="array" aca="1" ref="R6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0" s="38" t="b">
        <f ca="1">IF(OR(analysis_table[is_well_empy]=TRUE, analysis_table[final_result]=""), FALSE, VLOOKUP(analysis_table[final_result],is_result_to_send,2,FALSE))</f>
        <v>0</v>
      </c>
      <c r="T6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0" s="38" t="str">
        <f t="array" aca="1" ref="U6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0" s="38" t="s">
        <v>389</v>
      </c>
      <c r="W60" s="38">
        <v>1</v>
      </c>
    </row>
    <row r="61" spans="1:23" x14ac:dyDescent="0.15">
      <c r="A61" s="3" t="s">
        <v>157</v>
      </c>
      <c r="B61" s="3" t="str">
        <f>MID(analysis_table[well_no_zero],1,1) &amp; IF(VALUE(MID(analysis_table[well_no_zero],2,2)) &lt; 10, "0", "") &amp; MID(analysis_table[well_no_zero],2,2)</f>
        <v>E12</v>
      </c>
      <c r="C61" s="3" t="str">
        <f>IF('Layout piastra'!$B$2 &lt;&gt; "", 'Layout piastra'!$B$2, "")</f>
        <v/>
      </c>
      <c r="D6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1" s="3" t="str">
        <f>VLOOKUP(_xlfn.NUMBERVALUE(MID(analysis_table[well_no_zero], 2, 2)), column_to_batch, 2, FALSE)</f>
        <v>C</v>
      </c>
      <c r="F61" s="11" t="str">
        <f t="array" ref="F6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1" s="11" t="str">
        <f t="array" ref="G6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1" s="11" t="str">
        <f t="array" ref="H6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1" s="11" t="b">
        <f>NOT(ISNA(VLOOKUP(analysis_table[well_no_zero],control_wells,2,FALSE)))</f>
        <v>0</v>
      </c>
      <c r="K61" s="11" t="str">
        <f>_xlfn.IFNA(VLOOKUP(analysis_table[well_no_zero],control_wells,2,FALSE), "No")</f>
        <v>No</v>
      </c>
      <c r="L6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1" s="38" t="str">
        <f ca="1">IF(analysis_table[is_well_empy], "", VLOOKUP(analysis_table[test_result_auto],result_symbols_auto,2,FALSE))</f>
        <v/>
      </c>
      <c r="O61" s="96"/>
      <c r="P61" s="38" t="b">
        <f>analysis_table[user_result]&lt;&gt; ""</f>
        <v>0</v>
      </c>
      <c r="Q61" s="38" t="str">
        <f>IF(analysis_table[test_status], IF(analysis_table[user_result]="CORRETTO", analysis_table[test_symbol_auto], VLOOKUP(analysis_table[user_result],result_symbols,2,FALSE)), "")</f>
        <v/>
      </c>
      <c r="R61" s="38" t="str">
        <f t="array" aca="1" ref="R6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1" s="38" t="b">
        <f ca="1">IF(OR(analysis_table[is_well_empy]=TRUE, analysis_table[final_result]=""), FALSE, VLOOKUP(analysis_table[final_result],is_result_to_send,2,FALSE))</f>
        <v>0</v>
      </c>
      <c r="T6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1" s="38" t="str">
        <f t="array" aca="1" ref="U6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1" s="38" t="s">
        <v>389</v>
      </c>
      <c r="W61" s="38">
        <v>1</v>
      </c>
    </row>
    <row r="62" spans="1:23" x14ac:dyDescent="0.15">
      <c r="A62" s="3" t="s">
        <v>234</v>
      </c>
      <c r="B62" s="3" t="str">
        <f>MID(analysis_table[well_no_zero],1,1) &amp; IF(VALUE(MID(analysis_table[well_no_zero],2,2)) &lt; 10, "0", "") &amp; MID(analysis_table[well_no_zero],2,2)</f>
        <v>F01</v>
      </c>
      <c r="C62" s="3" t="str">
        <f>IF('Layout piastra'!$B$2 &lt;&gt; "", 'Layout piastra'!$B$2, "")</f>
        <v/>
      </c>
      <c r="D6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2" s="3" t="str">
        <f>VLOOKUP(_xlfn.NUMBERVALUE(MID(analysis_table[well_no_zero], 2, 2)), column_to_batch, 2, FALSE)</f>
        <v>A</v>
      </c>
      <c r="F62" s="11" t="str">
        <f t="array" ref="F6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2" s="11" t="str">
        <f t="array" ref="G6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2" s="11" t="str">
        <f t="array" ref="H6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2" s="11" t="b">
        <f>NOT(ISNA(VLOOKUP(analysis_table[well_no_zero],control_wells,2,FALSE)))</f>
        <v>0</v>
      </c>
      <c r="K62" s="11" t="str">
        <f>_xlfn.IFNA(VLOOKUP(analysis_table[well_no_zero],control_wells,2,FALSE), "No")</f>
        <v>No</v>
      </c>
      <c r="L6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2" s="38" t="str">
        <f ca="1">IF(analysis_table[is_well_empy], "", VLOOKUP(analysis_table[test_result_auto],result_symbols_auto,2,FALSE))</f>
        <v/>
      </c>
      <c r="O62" s="96"/>
      <c r="P62" s="38" t="b">
        <f>analysis_table[user_result]&lt;&gt; ""</f>
        <v>0</v>
      </c>
      <c r="Q62" s="38" t="str">
        <f>IF(analysis_table[test_status], IF(analysis_table[user_result]="CORRETTO", analysis_table[test_symbol_auto], VLOOKUP(analysis_table[user_result],result_symbols,2,FALSE)), "")</f>
        <v/>
      </c>
      <c r="R62" s="38" t="str">
        <f t="array" aca="1" ref="R6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2" s="38" t="b">
        <f ca="1">IF(OR(analysis_table[is_well_empy]=TRUE, analysis_table[final_result]=""), FALSE, VLOOKUP(analysis_table[final_result],is_result_to_send,2,FALSE))</f>
        <v>0</v>
      </c>
      <c r="T6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2" s="38" t="str">
        <f t="array" aca="1" ref="U6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2" s="38" t="s">
        <v>389</v>
      </c>
      <c r="W62" s="38">
        <v>1</v>
      </c>
    </row>
    <row r="63" spans="1:23" x14ac:dyDescent="0.15">
      <c r="A63" s="3" t="s">
        <v>235</v>
      </c>
      <c r="B63" s="3" t="str">
        <f>MID(analysis_table[well_no_zero],1,1) &amp; IF(VALUE(MID(analysis_table[well_no_zero],2,2)) &lt; 10, "0", "") &amp; MID(analysis_table[well_no_zero],2,2)</f>
        <v>F02</v>
      </c>
      <c r="C63" s="3" t="str">
        <f>IF('Layout piastra'!$B$2 &lt;&gt; "", 'Layout piastra'!$B$2, "")</f>
        <v/>
      </c>
      <c r="D6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3" s="3" t="str">
        <f>VLOOKUP(_xlfn.NUMBERVALUE(MID(analysis_table[well_no_zero], 2, 2)), column_to_batch, 2, FALSE)</f>
        <v>A</v>
      </c>
      <c r="F63" s="11" t="str">
        <f t="array" ref="F6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3" s="11" t="str">
        <f t="array" ref="G6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3" s="11" t="str">
        <f t="array" ref="H6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3" s="11" t="b">
        <f>NOT(ISNA(VLOOKUP(analysis_table[well_no_zero],control_wells,2,FALSE)))</f>
        <v>0</v>
      </c>
      <c r="K63" s="11" t="str">
        <f>_xlfn.IFNA(VLOOKUP(analysis_table[well_no_zero],control_wells,2,FALSE), "No")</f>
        <v>No</v>
      </c>
      <c r="L6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3" s="38" t="str">
        <f ca="1">IF(analysis_table[is_well_empy], "", VLOOKUP(analysis_table[test_result_auto],result_symbols_auto,2,FALSE))</f>
        <v/>
      </c>
      <c r="O63" s="96"/>
      <c r="P63" s="38" t="b">
        <f>analysis_table[user_result]&lt;&gt; ""</f>
        <v>0</v>
      </c>
      <c r="Q63" s="38" t="str">
        <f>IF(analysis_table[test_status], IF(analysis_table[user_result]="CORRETTO", analysis_table[test_symbol_auto], VLOOKUP(analysis_table[user_result],result_symbols,2,FALSE)), "")</f>
        <v/>
      </c>
      <c r="R63" s="38" t="str">
        <f t="array" aca="1" ref="R6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3" s="38" t="b">
        <f ca="1">IF(OR(analysis_table[is_well_empy]=TRUE, analysis_table[final_result]=""), FALSE, VLOOKUP(analysis_table[final_result],is_result_to_send,2,FALSE))</f>
        <v>0</v>
      </c>
      <c r="T6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3" s="38" t="str">
        <f t="array" aca="1" ref="U6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3" s="38" t="s">
        <v>389</v>
      </c>
      <c r="W63" s="38">
        <v>1</v>
      </c>
    </row>
    <row r="64" spans="1:23" x14ac:dyDescent="0.15">
      <c r="A64" s="3" t="s">
        <v>236</v>
      </c>
      <c r="B64" s="3" t="str">
        <f>MID(analysis_table[well_no_zero],1,1) &amp; IF(VALUE(MID(analysis_table[well_no_zero],2,2)) &lt; 10, "0", "") &amp; MID(analysis_table[well_no_zero],2,2)</f>
        <v>F03</v>
      </c>
      <c r="C64" s="3" t="str">
        <f>IF('Layout piastra'!$B$2 &lt;&gt; "", 'Layout piastra'!$B$2, "")</f>
        <v/>
      </c>
      <c r="D6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4" s="3" t="str">
        <f>VLOOKUP(_xlfn.NUMBERVALUE(MID(analysis_table[well_no_zero], 2, 2)), column_to_batch, 2, FALSE)</f>
        <v>A</v>
      </c>
      <c r="F64" s="11" t="str">
        <f t="array" ref="F6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4" s="11" t="str">
        <f t="array" ref="G6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4" s="11" t="str">
        <f t="array" ref="H6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4" s="11" t="b">
        <f>NOT(ISNA(VLOOKUP(analysis_table[well_no_zero],control_wells,2,FALSE)))</f>
        <v>0</v>
      </c>
      <c r="K64" s="11" t="str">
        <f>_xlfn.IFNA(VLOOKUP(analysis_table[well_no_zero],control_wells,2,FALSE), "No")</f>
        <v>No</v>
      </c>
      <c r="L6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4" s="38" t="str">
        <f ca="1">IF(analysis_table[is_well_empy], "", VLOOKUP(analysis_table[test_result_auto],result_symbols_auto,2,FALSE))</f>
        <v/>
      </c>
      <c r="O64" s="96"/>
      <c r="P64" s="38" t="b">
        <f>analysis_table[user_result]&lt;&gt; ""</f>
        <v>0</v>
      </c>
      <c r="Q64" s="38" t="str">
        <f>IF(analysis_table[test_status], IF(analysis_table[user_result]="CORRETTO", analysis_table[test_symbol_auto], VLOOKUP(analysis_table[user_result],result_symbols,2,FALSE)), "")</f>
        <v/>
      </c>
      <c r="R64" s="38" t="str">
        <f t="array" aca="1" ref="R6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4" s="38" t="b">
        <f ca="1">IF(OR(analysis_table[is_well_empy]=TRUE, analysis_table[final_result]=""), FALSE, VLOOKUP(analysis_table[final_result],is_result_to_send,2,FALSE))</f>
        <v>0</v>
      </c>
      <c r="T6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4" s="38" t="str">
        <f t="array" aca="1" ref="U6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4" s="38" t="s">
        <v>389</v>
      </c>
      <c r="W64" s="38">
        <v>1</v>
      </c>
    </row>
    <row r="65" spans="1:23" x14ac:dyDescent="0.15">
      <c r="A65" s="3" t="s">
        <v>237</v>
      </c>
      <c r="B65" s="3" t="str">
        <f>MID(analysis_table[well_no_zero],1,1) &amp; IF(VALUE(MID(analysis_table[well_no_zero],2,2)) &lt; 10, "0", "") &amp; MID(analysis_table[well_no_zero],2,2)</f>
        <v>F04</v>
      </c>
      <c r="C65" s="3" t="str">
        <f>IF('Layout piastra'!$B$2 &lt;&gt; "", 'Layout piastra'!$B$2, "")</f>
        <v/>
      </c>
      <c r="D6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5" s="3" t="str">
        <f>VLOOKUP(_xlfn.NUMBERVALUE(MID(analysis_table[well_no_zero], 2, 2)), column_to_batch, 2, FALSE)</f>
        <v>A</v>
      </c>
      <c r="F65" s="11" t="str">
        <f t="array" ref="F6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5" s="11" t="str">
        <f t="array" ref="G6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5" s="11" t="str">
        <f t="array" ref="H6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5" s="11" t="b">
        <f>NOT(ISNA(VLOOKUP(analysis_table[well_no_zero],control_wells,2,FALSE)))</f>
        <v>0</v>
      </c>
      <c r="K65" s="11" t="str">
        <f>_xlfn.IFNA(VLOOKUP(analysis_table[well_no_zero],control_wells,2,FALSE), "No")</f>
        <v>No</v>
      </c>
      <c r="L6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5" s="38" t="str">
        <f ca="1">IF(analysis_table[is_well_empy], "", VLOOKUP(analysis_table[test_result_auto],result_symbols_auto,2,FALSE))</f>
        <v/>
      </c>
      <c r="O65" s="96"/>
      <c r="P65" s="38" t="b">
        <f>analysis_table[user_result]&lt;&gt; ""</f>
        <v>0</v>
      </c>
      <c r="Q65" s="38" t="str">
        <f>IF(analysis_table[test_status], IF(analysis_table[user_result]="CORRETTO", analysis_table[test_symbol_auto], VLOOKUP(analysis_table[user_result],result_symbols,2,FALSE)), "")</f>
        <v/>
      </c>
      <c r="R65" s="38" t="str">
        <f t="array" aca="1" ref="R6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5" s="38" t="b">
        <f ca="1">IF(OR(analysis_table[is_well_empy]=TRUE, analysis_table[final_result]=""), FALSE, VLOOKUP(analysis_table[final_result],is_result_to_send,2,FALSE))</f>
        <v>0</v>
      </c>
      <c r="T6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5" s="38" t="str">
        <f t="array" aca="1" ref="U6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5" s="38" t="s">
        <v>389</v>
      </c>
      <c r="W65" s="38">
        <v>1</v>
      </c>
    </row>
    <row r="66" spans="1:23" x14ac:dyDescent="0.15">
      <c r="A66" s="3" t="s">
        <v>238</v>
      </c>
      <c r="B66" s="3" t="str">
        <f>MID(analysis_table[well_no_zero],1,1) &amp; IF(VALUE(MID(analysis_table[well_no_zero],2,2)) &lt; 10, "0", "") &amp; MID(analysis_table[well_no_zero],2,2)</f>
        <v>F05</v>
      </c>
      <c r="C66" s="3" t="str">
        <f>IF('Layout piastra'!$B$2 &lt;&gt; "", 'Layout piastra'!$B$2, "")</f>
        <v/>
      </c>
      <c r="D6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6" s="3" t="str">
        <f>VLOOKUP(_xlfn.NUMBERVALUE(MID(analysis_table[well_no_zero], 2, 2)), column_to_batch, 2, FALSE)</f>
        <v>B</v>
      </c>
      <c r="F66" s="11" t="str">
        <f t="array" ref="F6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6" s="11" t="str">
        <f t="array" ref="G6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6" s="11" t="str">
        <f t="array" ref="H6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6" s="11" t="b">
        <f>NOT(ISNA(VLOOKUP(analysis_table[well_no_zero],control_wells,2,FALSE)))</f>
        <v>0</v>
      </c>
      <c r="K66" s="11" t="str">
        <f>_xlfn.IFNA(VLOOKUP(analysis_table[well_no_zero],control_wells,2,FALSE), "No")</f>
        <v>No</v>
      </c>
      <c r="L6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6" s="38" t="str">
        <f ca="1">IF(analysis_table[is_well_empy], "", VLOOKUP(analysis_table[test_result_auto],result_symbols_auto,2,FALSE))</f>
        <v/>
      </c>
      <c r="O66" s="96"/>
      <c r="P66" s="38" t="b">
        <f>analysis_table[user_result]&lt;&gt; ""</f>
        <v>0</v>
      </c>
      <c r="Q66" s="38" t="str">
        <f>IF(analysis_table[test_status], IF(analysis_table[user_result]="CORRETTO", analysis_table[test_symbol_auto], VLOOKUP(analysis_table[user_result],result_symbols,2,FALSE)), "")</f>
        <v/>
      </c>
      <c r="R66" s="38" t="str">
        <f t="array" aca="1" ref="R6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6" s="38" t="b">
        <f ca="1">IF(OR(analysis_table[is_well_empy]=TRUE, analysis_table[final_result]=""), FALSE, VLOOKUP(analysis_table[final_result],is_result_to_send,2,FALSE))</f>
        <v>0</v>
      </c>
      <c r="T6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6" s="38" t="str">
        <f t="array" aca="1" ref="U6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6" s="38" t="s">
        <v>389</v>
      </c>
      <c r="W66" s="38">
        <v>1</v>
      </c>
    </row>
    <row r="67" spans="1:23" x14ac:dyDescent="0.15">
      <c r="A67" s="3" t="s">
        <v>239</v>
      </c>
      <c r="B67" s="3" t="str">
        <f>MID(analysis_table[well_no_zero],1,1) &amp; IF(VALUE(MID(analysis_table[well_no_zero],2,2)) &lt; 10, "0", "") &amp; MID(analysis_table[well_no_zero],2,2)</f>
        <v>F06</v>
      </c>
      <c r="C67" s="3" t="str">
        <f>IF('Layout piastra'!$B$2 &lt;&gt; "", 'Layout piastra'!$B$2, "")</f>
        <v/>
      </c>
      <c r="D6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7" s="3" t="str">
        <f>VLOOKUP(_xlfn.NUMBERVALUE(MID(analysis_table[well_no_zero], 2, 2)), column_to_batch, 2, FALSE)</f>
        <v>B</v>
      </c>
      <c r="F67" s="11" t="str">
        <f t="array" ref="F6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7" s="11" t="str">
        <f t="array" ref="G6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7" s="11" t="str">
        <f t="array" ref="H6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7" s="11" t="b">
        <f>NOT(ISNA(VLOOKUP(analysis_table[well_no_zero],control_wells,2,FALSE)))</f>
        <v>0</v>
      </c>
      <c r="K67" s="11" t="str">
        <f>_xlfn.IFNA(VLOOKUP(analysis_table[well_no_zero],control_wells,2,FALSE), "No")</f>
        <v>No</v>
      </c>
      <c r="L6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7" s="38" t="str">
        <f ca="1">IF(analysis_table[is_well_empy], "", VLOOKUP(analysis_table[test_result_auto],result_symbols_auto,2,FALSE))</f>
        <v/>
      </c>
      <c r="O67" s="96"/>
      <c r="P67" s="38" t="b">
        <f>analysis_table[user_result]&lt;&gt; ""</f>
        <v>0</v>
      </c>
      <c r="Q67" s="38" t="str">
        <f>IF(analysis_table[test_status], IF(analysis_table[user_result]="CORRETTO", analysis_table[test_symbol_auto], VLOOKUP(analysis_table[user_result],result_symbols,2,FALSE)), "")</f>
        <v/>
      </c>
      <c r="R67" s="38" t="str">
        <f t="array" aca="1" ref="R6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7" s="38" t="b">
        <f ca="1">IF(OR(analysis_table[is_well_empy]=TRUE, analysis_table[final_result]=""), FALSE, VLOOKUP(analysis_table[final_result],is_result_to_send,2,FALSE))</f>
        <v>0</v>
      </c>
      <c r="T6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7" s="38" t="str">
        <f t="array" aca="1" ref="U6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7" s="38" t="s">
        <v>389</v>
      </c>
      <c r="W67" s="38">
        <v>1</v>
      </c>
    </row>
    <row r="68" spans="1:23" x14ac:dyDescent="0.15">
      <c r="A68" s="3" t="s">
        <v>240</v>
      </c>
      <c r="B68" s="3" t="str">
        <f>MID(analysis_table[well_no_zero],1,1) &amp; IF(VALUE(MID(analysis_table[well_no_zero],2,2)) &lt; 10, "0", "") &amp; MID(analysis_table[well_no_zero],2,2)</f>
        <v>F07</v>
      </c>
      <c r="C68" s="3" t="str">
        <f>IF('Layout piastra'!$B$2 &lt;&gt; "", 'Layout piastra'!$B$2, "")</f>
        <v/>
      </c>
      <c r="D6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8" s="3" t="str">
        <f>VLOOKUP(_xlfn.NUMBERVALUE(MID(analysis_table[well_no_zero], 2, 2)), column_to_batch, 2, FALSE)</f>
        <v>B</v>
      </c>
      <c r="F68" s="11" t="str">
        <f t="array" ref="F6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8" s="11" t="str">
        <f t="array" ref="G6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8" s="11" t="str">
        <f t="array" ref="H6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8" s="11" t="b">
        <f>NOT(ISNA(VLOOKUP(analysis_table[well_no_zero],control_wells,2,FALSE)))</f>
        <v>0</v>
      </c>
      <c r="K68" s="11" t="str">
        <f>_xlfn.IFNA(VLOOKUP(analysis_table[well_no_zero],control_wells,2,FALSE), "No")</f>
        <v>No</v>
      </c>
      <c r="L6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8" s="38" t="str">
        <f ca="1">IF(analysis_table[is_well_empy], "", VLOOKUP(analysis_table[test_result_auto],result_symbols_auto,2,FALSE))</f>
        <v/>
      </c>
      <c r="O68" s="96"/>
      <c r="P68" s="38" t="b">
        <f>analysis_table[user_result]&lt;&gt; ""</f>
        <v>0</v>
      </c>
      <c r="Q68" s="38" t="str">
        <f>IF(analysis_table[test_status], IF(analysis_table[user_result]="CORRETTO", analysis_table[test_symbol_auto], VLOOKUP(analysis_table[user_result],result_symbols,2,FALSE)), "")</f>
        <v/>
      </c>
      <c r="R68" s="38" t="str">
        <f t="array" aca="1" ref="R6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8" s="38" t="b">
        <f ca="1">IF(OR(analysis_table[is_well_empy]=TRUE, analysis_table[final_result]=""), FALSE, VLOOKUP(analysis_table[final_result],is_result_to_send,2,FALSE))</f>
        <v>0</v>
      </c>
      <c r="T6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8" s="38" t="str">
        <f t="array" aca="1" ref="U6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8" s="38" t="s">
        <v>389</v>
      </c>
      <c r="W68" s="38">
        <v>1</v>
      </c>
    </row>
    <row r="69" spans="1:23" x14ac:dyDescent="0.15">
      <c r="A69" s="3" t="s">
        <v>241</v>
      </c>
      <c r="B69" s="3" t="str">
        <f>MID(analysis_table[well_no_zero],1,1) &amp; IF(VALUE(MID(analysis_table[well_no_zero],2,2)) &lt; 10, "0", "") &amp; MID(analysis_table[well_no_zero],2,2)</f>
        <v>F08</v>
      </c>
      <c r="C69" s="3" t="str">
        <f>IF('Layout piastra'!$B$2 &lt;&gt; "", 'Layout piastra'!$B$2, "")</f>
        <v/>
      </c>
      <c r="D6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69" s="3" t="str">
        <f>VLOOKUP(_xlfn.NUMBERVALUE(MID(analysis_table[well_no_zero], 2, 2)), column_to_batch, 2, FALSE)</f>
        <v>B</v>
      </c>
      <c r="F69" s="11" t="str">
        <f t="array" ref="F6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69" s="11" t="str">
        <f t="array" ref="G6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69" s="11" t="str">
        <f t="array" ref="H6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6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69" s="11" t="b">
        <f>NOT(ISNA(VLOOKUP(analysis_table[well_no_zero],control_wells,2,FALSE)))</f>
        <v>0</v>
      </c>
      <c r="K69" s="11" t="str">
        <f>_xlfn.IFNA(VLOOKUP(analysis_table[well_no_zero],control_wells,2,FALSE), "No")</f>
        <v>No</v>
      </c>
      <c r="L6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6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69" s="38" t="str">
        <f ca="1">IF(analysis_table[is_well_empy], "", VLOOKUP(analysis_table[test_result_auto],result_symbols_auto,2,FALSE))</f>
        <v/>
      </c>
      <c r="O69" s="96"/>
      <c r="P69" s="38" t="b">
        <f>analysis_table[user_result]&lt;&gt; ""</f>
        <v>0</v>
      </c>
      <c r="Q69" s="38" t="str">
        <f>IF(analysis_table[test_status], IF(analysis_table[user_result]="CORRETTO", analysis_table[test_symbol_auto], VLOOKUP(analysis_table[user_result],result_symbols,2,FALSE)), "")</f>
        <v/>
      </c>
      <c r="R69" s="38" t="str">
        <f t="array" aca="1" ref="R6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69" s="38" t="b">
        <f ca="1">IF(OR(analysis_table[is_well_empy]=TRUE, analysis_table[final_result]=""), FALSE, VLOOKUP(analysis_table[final_result],is_result_to_send,2,FALSE))</f>
        <v>0</v>
      </c>
      <c r="T6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69" s="38" t="str">
        <f t="array" aca="1" ref="U6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69" s="38" t="s">
        <v>389</v>
      </c>
      <c r="W69" s="38">
        <v>1</v>
      </c>
    </row>
    <row r="70" spans="1:23" x14ac:dyDescent="0.15">
      <c r="A70" s="3" t="s">
        <v>242</v>
      </c>
      <c r="B70" s="3" t="str">
        <f>MID(analysis_table[well_no_zero],1,1) &amp; IF(VALUE(MID(analysis_table[well_no_zero],2,2)) &lt; 10, "0", "") &amp; MID(analysis_table[well_no_zero],2,2)</f>
        <v>F09</v>
      </c>
      <c r="C70" s="3" t="str">
        <f>IF('Layout piastra'!$B$2 &lt;&gt; "", 'Layout piastra'!$B$2, "")</f>
        <v/>
      </c>
      <c r="D7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0" s="3" t="str">
        <f>VLOOKUP(_xlfn.NUMBERVALUE(MID(analysis_table[well_no_zero], 2, 2)), column_to_batch, 2, FALSE)</f>
        <v>C</v>
      </c>
      <c r="F70" s="11" t="str">
        <f t="array" ref="F7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0" s="11" t="str">
        <f t="array" ref="G7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0" s="11" t="str">
        <f t="array" ref="H7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0" s="11" t="b">
        <f>NOT(ISNA(VLOOKUP(analysis_table[well_no_zero],control_wells,2,FALSE)))</f>
        <v>0</v>
      </c>
      <c r="K70" s="11" t="str">
        <f>_xlfn.IFNA(VLOOKUP(analysis_table[well_no_zero],control_wells,2,FALSE), "No")</f>
        <v>No</v>
      </c>
      <c r="L7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0" s="38" t="str">
        <f ca="1">IF(analysis_table[is_well_empy], "", VLOOKUP(analysis_table[test_result_auto],result_symbols_auto,2,FALSE))</f>
        <v/>
      </c>
      <c r="O70" s="96"/>
      <c r="P70" s="38" t="b">
        <f>analysis_table[user_result]&lt;&gt; ""</f>
        <v>0</v>
      </c>
      <c r="Q70" s="38" t="str">
        <f>IF(analysis_table[test_status], IF(analysis_table[user_result]="CORRETTO", analysis_table[test_symbol_auto], VLOOKUP(analysis_table[user_result],result_symbols,2,FALSE)), "")</f>
        <v/>
      </c>
      <c r="R70" s="38" t="str">
        <f t="array" aca="1" ref="R7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0" s="38" t="b">
        <f ca="1">IF(OR(analysis_table[is_well_empy]=TRUE, analysis_table[final_result]=""), FALSE, VLOOKUP(analysis_table[final_result],is_result_to_send,2,FALSE))</f>
        <v>0</v>
      </c>
      <c r="T7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0" s="38" t="str">
        <f t="array" aca="1" ref="U7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0" s="38" t="s">
        <v>389</v>
      </c>
      <c r="W70" s="38">
        <v>1</v>
      </c>
    </row>
    <row r="71" spans="1:23" x14ac:dyDescent="0.15">
      <c r="A71" s="3" t="s">
        <v>142</v>
      </c>
      <c r="B71" s="3" t="str">
        <f>MID(analysis_table[well_no_zero],1,1) &amp; IF(VALUE(MID(analysis_table[well_no_zero],2,2)) &lt; 10, "0", "") &amp; MID(analysis_table[well_no_zero],2,2)</f>
        <v>F10</v>
      </c>
      <c r="C71" s="3" t="str">
        <f>IF('Layout piastra'!$B$2 &lt;&gt; "", 'Layout piastra'!$B$2, "")</f>
        <v/>
      </c>
      <c r="D7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1" s="3" t="str">
        <f>VLOOKUP(_xlfn.NUMBERVALUE(MID(analysis_table[well_no_zero], 2, 2)), column_to_batch, 2, FALSE)</f>
        <v>C</v>
      </c>
      <c r="F71" s="11" t="str">
        <f t="array" ref="F7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1" s="11" t="str">
        <f t="array" ref="G7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1" s="11" t="str">
        <f t="array" ref="H7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1" s="11" t="b">
        <f>NOT(ISNA(VLOOKUP(analysis_table[well_no_zero],control_wells,2,FALSE)))</f>
        <v>0</v>
      </c>
      <c r="K71" s="11" t="str">
        <f>_xlfn.IFNA(VLOOKUP(analysis_table[well_no_zero],control_wells,2,FALSE), "No")</f>
        <v>No</v>
      </c>
      <c r="L7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1" s="38" t="str">
        <f ca="1">IF(analysis_table[is_well_empy], "", VLOOKUP(analysis_table[test_result_auto],result_symbols_auto,2,FALSE))</f>
        <v/>
      </c>
      <c r="O71" s="96"/>
      <c r="P71" s="38" t="b">
        <f>analysis_table[user_result]&lt;&gt; ""</f>
        <v>0</v>
      </c>
      <c r="Q71" s="38" t="str">
        <f>IF(analysis_table[test_status], IF(analysis_table[user_result]="CORRETTO", analysis_table[test_symbol_auto], VLOOKUP(analysis_table[user_result],result_symbols,2,FALSE)), "")</f>
        <v/>
      </c>
      <c r="R71" s="38" t="str">
        <f t="array" aca="1" ref="R7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1" s="38" t="b">
        <f ca="1">IF(OR(analysis_table[is_well_empy]=TRUE, analysis_table[final_result]=""), FALSE, VLOOKUP(analysis_table[final_result],is_result_to_send,2,FALSE))</f>
        <v>0</v>
      </c>
      <c r="T7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1" s="38" t="str">
        <f t="array" aca="1" ref="U7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1" s="38" t="s">
        <v>389</v>
      </c>
      <c r="W71" s="38">
        <v>1</v>
      </c>
    </row>
    <row r="72" spans="1:23" x14ac:dyDescent="0.15">
      <c r="A72" s="3" t="s">
        <v>150</v>
      </c>
      <c r="B72" s="3" t="str">
        <f>MID(analysis_table[well_no_zero],1,1) &amp; IF(VALUE(MID(analysis_table[well_no_zero],2,2)) &lt; 10, "0", "") &amp; MID(analysis_table[well_no_zero],2,2)</f>
        <v>F11</v>
      </c>
      <c r="C72" s="3" t="str">
        <f>IF('Layout piastra'!$B$2 &lt;&gt; "", 'Layout piastra'!$B$2, "")</f>
        <v/>
      </c>
      <c r="D7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2" s="3" t="str">
        <f>VLOOKUP(_xlfn.NUMBERVALUE(MID(analysis_table[well_no_zero], 2, 2)), column_to_batch, 2, FALSE)</f>
        <v>C</v>
      </c>
      <c r="F72" s="11" t="str">
        <f t="array" ref="F7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2" s="11" t="str">
        <f t="array" ref="G7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2" s="11" t="str">
        <f t="array" ref="H7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2" s="11" t="b">
        <f>NOT(ISNA(VLOOKUP(analysis_table[well_no_zero],control_wells,2,FALSE)))</f>
        <v>0</v>
      </c>
      <c r="K72" s="11" t="str">
        <f>_xlfn.IFNA(VLOOKUP(analysis_table[well_no_zero],control_wells,2,FALSE), "No")</f>
        <v>No</v>
      </c>
      <c r="L7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2" s="38" t="str">
        <f ca="1">IF(analysis_table[is_well_empy], "", VLOOKUP(analysis_table[test_result_auto],result_symbols_auto,2,FALSE))</f>
        <v/>
      </c>
      <c r="O72" s="96"/>
      <c r="P72" s="38" t="b">
        <f>analysis_table[user_result]&lt;&gt; ""</f>
        <v>0</v>
      </c>
      <c r="Q72" s="38" t="str">
        <f>IF(analysis_table[test_status], IF(analysis_table[user_result]="CORRETTO", analysis_table[test_symbol_auto], VLOOKUP(analysis_table[user_result],result_symbols,2,FALSE)), "")</f>
        <v/>
      </c>
      <c r="R72" s="38" t="str">
        <f t="array" aca="1" ref="R7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2" s="38" t="b">
        <f ca="1">IF(OR(analysis_table[is_well_empy]=TRUE, analysis_table[final_result]=""), FALSE, VLOOKUP(analysis_table[final_result],is_result_to_send,2,FALSE))</f>
        <v>0</v>
      </c>
      <c r="T7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2" s="38" t="str">
        <f t="array" aca="1" ref="U7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2" s="38" t="s">
        <v>389</v>
      </c>
      <c r="W72" s="38">
        <v>1</v>
      </c>
    </row>
    <row r="73" spans="1:23" x14ac:dyDescent="0.15">
      <c r="A73" s="3" t="s">
        <v>158</v>
      </c>
      <c r="B73" s="3" t="str">
        <f>MID(analysis_table[well_no_zero],1,1) &amp; IF(VALUE(MID(analysis_table[well_no_zero],2,2)) &lt; 10, "0", "") &amp; MID(analysis_table[well_no_zero],2,2)</f>
        <v>F12</v>
      </c>
      <c r="C73" s="3" t="str">
        <f>IF('Layout piastra'!$B$2 &lt;&gt; "", 'Layout piastra'!$B$2, "")</f>
        <v/>
      </c>
      <c r="D7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3" s="3" t="str">
        <f>VLOOKUP(_xlfn.NUMBERVALUE(MID(analysis_table[well_no_zero], 2, 2)), column_to_batch, 2, FALSE)</f>
        <v>C</v>
      </c>
      <c r="F73" s="11" t="str">
        <f t="array" ref="F7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3" s="11" t="str">
        <f t="array" ref="G7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3" s="11" t="str">
        <f t="array" ref="H7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3" s="11" t="b">
        <f>NOT(ISNA(VLOOKUP(analysis_table[well_no_zero],control_wells,2,FALSE)))</f>
        <v>0</v>
      </c>
      <c r="K73" s="11" t="str">
        <f>_xlfn.IFNA(VLOOKUP(analysis_table[well_no_zero],control_wells,2,FALSE), "No")</f>
        <v>No</v>
      </c>
      <c r="L7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3" s="38" t="str">
        <f ca="1">IF(analysis_table[is_well_empy], "", VLOOKUP(analysis_table[test_result_auto],result_symbols_auto,2,FALSE))</f>
        <v/>
      </c>
      <c r="O73" s="96"/>
      <c r="P73" s="38" t="b">
        <f>analysis_table[user_result]&lt;&gt; ""</f>
        <v>0</v>
      </c>
      <c r="Q73" s="38" t="str">
        <f>IF(analysis_table[test_status], IF(analysis_table[user_result]="CORRETTO", analysis_table[test_symbol_auto], VLOOKUP(analysis_table[user_result],result_symbols,2,FALSE)), "")</f>
        <v/>
      </c>
      <c r="R73" s="38" t="str">
        <f t="array" aca="1" ref="R7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3" s="38" t="b">
        <f ca="1">IF(OR(analysis_table[is_well_empy]=TRUE, analysis_table[final_result]=""), FALSE, VLOOKUP(analysis_table[final_result],is_result_to_send,2,FALSE))</f>
        <v>0</v>
      </c>
      <c r="T7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3" s="38" t="str">
        <f t="array" aca="1" ref="U7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3" s="38" t="s">
        <v>389</v>
      </c>
      <c r="W73" s="38">
        <v>1</v>
      </c>
    </row>
    <row r="74" spans="1:23" x14ac:dyDescent="0.15">
      <c r="A74" s="3" t="s">
        <v>243</v>
      </c>
      <c r="B74" s="3" t="str">
        <f>MID(analysis_table[well_no_zero],1,1) &amp; IF(VALUE(MID(analysis_table[well_no_zero],2,2)) &lt; 10, "0", "") &amp; MID(analysis_table[well_no_zero],2,2)</f>
        <v>G01</v>
      </c>
      <c r="C74" s="3" t="str">
        <f>IF('Layout piastra'!$B$2 &lt;&gt; "", 'Layout piastra'!$B$2, "")</f>
        <v/>
      </c>
      <c r="D7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4" s="3" t="str">
        <f>VLOOKUP(_xlfn.NUMBERVALUE(MID(analysis_table[well_no_zero], 2, 2)), column_to_batch, 2, FALSE)</f>
        <v>A</v>
      </c>
      <c r="F74" s="11" t="str">
        <f t="array" ref="F7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4" s="11" t="str">
        <f t="array" ref="G7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4" s="11" t="str">
        <f t="array" ref="H7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4" s="11" t="b">
        <f>NOT(ISNA(VLOOKUP(analysis_table[well_no_zero],control_wells,2,FALSE)))</f>
        <v>0</v>
      </c>
      <c r="K74" s="11" t="str">
        <f>_xlfn.IFNA(VLOOKUP(analysis_table[well_no_zero],control_wells,2,FALSE), "No")</f>
        <v>No</v>
      </c>
      <c r="L7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4" s="38" t="str">
        <f ca="1">IF(analysis_table[is_well_empy], "", VLOOKUP(analysis_table[test_result_auto],result_symbols_auto,2,FALSE))</f>
        <v/>
      </c>
      <c r="O74" s="96"/>
      <c r="P74" s="38" t="b">
        <f>analysis_table[user_result]&lt;&gt; ""</f>
        <v>0</v>
      </c>
      <c r="Q74" s="38" t="str">
        <f>IF(analysis_table[test_status], IF(analysis_table[user_result]="CORRETTO", analysis_table[test_symbol_auto], VLOOKUP(analysis_table[user_result],result_symbols,2,FALSE)), "")</f>
        <v/>
      </c>
      <c r="R74" s="38" t="str">
        <f t="array" aca="1" ref="R7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4" s="38" t="b">
        <f ca="1">IF(OR(analysis_table[is_well_empy]=TRUE, analysis_table[final_result]=""), FALSE, VLOOKUP(analysis_table[final_result],is_result_to_send,2,FALSE))</f>
        <v>0</v>
      </c>
      <c r="T7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4" s="38" t="str">
        <f t="array" aca="1" ref="U7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4" s="38" t="s">
        <v>389</v>
      </c>
      <c r="W74" s="38">
        <v>1</v>
      </c>
    </row>
    <row r="75" spans="1:23" x14ac:dyDescent="0.15">
      <c r="A75" s="3" t="s">
        <v>244</v>
      </c>
      <c r="B75" s="3" t="str">
        <f>MID(analysis_table[well_no_zero],1,1) &amp; IF(VALUE(MID(analysis_table[well_no_zero],2,2)) &lt; 10, "0", "") &amp; MID(analysis_table[well_no_zero],2,2)</f>
        <v>G02</v>
      </c>
      <c r="C75" s="3" t="str">
        <f>IF('Layout piastra'!$B$2 &lt;&gt; "", 'Layout piastra'!$B$2, "")</f>
        <v/>
      </c>
      <c r="D7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5" s="3" t="str">
        <f>VLOOKUP(_xlfn.NUMBERVALUE(MID(analysis_table[well_no_zero], 2, 2)), column_to_batch, 2, FALSE)</f>
        <v>A</v>
      </c>
      <c r="F75" s="11" t="str">
        <f t="array" ref="F7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5" s="11" t="str">
        <f t="array" ref="G7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5" s="11" t="str">
        <f t="array" ref="H7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5" s="11" t="b">
        <f>NOT(ISNA(VLOOKUP(analysis_table[well_no_zero],control_wells,2,FALSE)))</f>
        <v>0</v>
      </c>
      <c r="K75" s="11" t="str">
        <f>_xlfn.IFNA(VLOOKUP(analysis_table[well_no_zero],control_wells,2,FALSE), "No")</f>
        <v>No</v>
      </c>
      <c r="L7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5" s="38" t="str">
        <f ca="1">IF(analysis_table[is_well_empy], "", VLOOKUP(analysis_table[test_result_auto],result_symbols_auto,2,FALSE))</f>
        <v/>
      </c>
      <c r="O75" s="96"/>
      <c r="P75" s="38" t="b">
        <f>analysis_table[user_result]&lt;&gt; ""</f>
        <v>0</v>
      </c>
      <c r="Q75" s="38" t="str">
        <f>IF(analysis_table[test_status], IF(analysis_table[user_result]="CORRETTO", analysis_table[test_symbol_auto], VLOOKUP(analysis_table[user_result],result_symbols,2,FALSE)), "")</f>
        <v/>
      </c>
      <c r="R75" s="38" t="str">
        <f t="array" aca="1" ref="R7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5" s="38" t="b">
        <f ca="1">IF(OR(analysis_table[is_well_empy]=TRUE, analysis_table[final_result]=""), FALSE, VLOOKUP(analysis_table[final_result],is_result_to_send,2,FALSE))</f>
        <v>0</v>
      </c>
      <c r="T7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5" s="38" t="str">
        <f t="array" aca="1" ref="U7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5" s="38" t="s">
        <v>389</v>
      </c>
      <c r="W75" s="38">
        <v>1</v>
      </c>
    </row>
    <row r="76" spans="1:23" x14ac:dyDescent="0.15">
      <c r="A76" s="3" t="s">
        <v>245</v>
      </c>
      <c r="B76" s="3" t="str">
        <f>MID(analysis_table[well_no_zero],1,1) &amp; IF(VALUE(MID(analysis_table[well_no_zero],2,2)) &lt; 10, "0", "") &amp; MID(analysis_table[well_no_zero],2,2)</f>
        <v>G03</v>
      </c>
      <c r="C76" s="3" t="str">
        <f>IF('Layout piastra'!$B$2 &lt;&gt; "", 'Layout piastra'!$B$2, "")</f>
        <v/>
      </c>
      <c r="D7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6" s="3" t="str">
        <f>VLOOKUP(_xlfn.NUMBERVALUE(MID(analysis_table[well_no_zero], 2, 2)), column_to_batch, 2, FALSE)</f>
        <v>A</v>
      </c>
      <c r="F76" s="11" t="str">
        <f t="array" ref="F7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6" s="11" t="str">
        <f t="array" ref="G7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6" s="11" t="str">
        <f t="array" ref="H7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6" s="11" t="b">
        <f>NOT(ISNA(VLOOKUP(analysis_table[well_no_zero],control_wells,2,FALSE)))</f>
        <v>0</v>
      </c>
      <c r="K76" s="11" t="str">
        <f>_xlfn.IFNA(VLOOKUP(analysis_table[well_no_zero],control_wells,2,FALSE), "No")</f>
        <v>No</v>
      </c>
      <c r="L7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6" s="38" t="str">
        <f ca="1">IF(analysis_table[is_well_empy], "", VLOOKUP(analysis_table[test_result_auto],result_symbols_auto,2,FALSE))</f>
        <v/>
      </c>
      <c r="O76" s="96"/>
      <c r="P76" s="38" t="b">
        <f>analysis_table[user_result]&lt;&gt; ""</f>
        <v>0</v>
      </c>
      <c r="Q76" s="38" t="str">
        <f>IF(analysis_table[test_status], IF(analysis_table[user_result]="CORRETTO", analysis_table[test_symbol_auto], VLOOKUP(analysis_table[user_result],result_symbols,2,FALSE)), "")</f>
        <v/>
      </c>
      <c r="R76" s="38" t="str">
        <f t="array" aca="1" ref="R7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6" s="38" t="b">
        <f ca="1">IF(OR(analysis_table[is_well_empy]=TRUE, analysis_table[final_result]=""), FALSE, VLOOKUP(analysis_table[final_result],is_result_to_send,2,FALSE))</f>
        <v>0</v>
      </c>
      <c r="T7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6" s="38" t="str">
        <f t="array" aca="1" ref="U7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6" s="38" t="s">
        <v>389</v>
      </c>
      <c r="W76" s="38">
        <v>1</v>
      </c>
    </row>
    <row r="77" spans="1:23" x14ac:dyDescent="0.15">
      <c r="A77" s="3" t="s">
        <v>246</v>
      </c>
      <c r="B77" s="3" t="str">
        <f>MID(analysis_table[well_no_zero],1,1) &amp; IF(VALUE(MID(analysis_table[well_no_zero],2,2)) &lt; 10, "0", "") &amp; MID(analysis_table[well_no_zero],2,2)</f>
        <v>G04</v>
      </c>
      <c r="C77" s="3" t="str">
        <f>IF('Layout piastra'!$B$2 &lt;&gt; "", 'Layout piastra'!$B$2, "")</f>
        <v/>
      </c>
      <c r="D7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7" s="3" t="str">
        <f>VLOOKUP(_xlfn.NUMBERVALUE(MID(analysis_table[well_no_zero], 2, 2)), column_to_batch, 2, FALSE)</f>
        <v>A</v>
      </c>
      <c r="F77" s="11" t="str">
        <f t="array" ref="F7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7" s="11" t="str">
        <f t="array" ref="G7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7" s="11" t="str">
        <f t="array" ref="H7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7" s="11" t="b">
        <f>NOT(ISNA(VLOOKUP(analysis_table[well_no_zero],control_wells,2,FALSE)))</f>
        <v>0</v>
      </c>
      <c r="K77" s="11" t="str">
        <f>_xlfn.IFNA(VLOOKUP(analysis_table[well_no_zero],control_wells,2,FALSE), "No")</f>
        <v>No</v>
      </c>
      <c r="L7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7" s="38" t="str">
        <f ca="1">IF(analysis_table[is_well_empy], "", VLOOKUP(analysis_table[test_result_auto],result_symbols_auto,2,FALSE))</f>
        <v/>
      </c>
      <c r="O77" s="96"/>
      <c r="P77" s="38" t="b">
        <f>analysis_table[user_result]&lt;&gt; ""</f>
        <v>0</v>
      </c>
      <c r="Q77" s="38" t="str">
        <f>IF(analysis_table[test_status], IF(analysis_table[user_result]="CORRETTO", analysis_table[test_symbol_auto], VLOOKUP(analysis_table[user_result],result_symbols,2,FALSE)), "")</f>
        <v/>
      </c>
      <c r="R77" s="38" t="str">
        <f t="array" aca="1" ref="R7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7" s="38" t="b">
        <f ca="1">IF(OR(analysis_table[is_well_empy]=TRUE, analysis_table[final_result]=""), FALSE, VLOOKUP(analysis_table[final_result],is_result_to_send,2,FALSE))</f>
        <v>0</v>
      </c>
      <c r="T7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7" s="38" t="str">
        <f t="array" aca="1" ref="U7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7" s="38" t="s">
        <v>389</v>
      </c>
      <c r="W77" s="38">
        <v>1</v>
      </c>
    </row>
    <row r="78" spans="1:23" x14ac:dyDescent="0.15">
      <c r="A78" s="3" t="s">
        <v>247</v>
      </c>
      <c r="B78" s="3" t="str">
        <f>MID(analysis_table[well_no_zero],1,1) &amp; IF(VALUE(MID(analysis_table[well_no_zero],2,2)) &lt; 10, "0", "") &amp; MID(analysis_table[well_no_zero],2,2)</f>
        <v>G05</v>
      </c>
      <c r="C78" s="3" t="str">
        <f>IF('Layout piastra'!$B$2 &lt;&gt; "", 'Layout piastra'!$B$2, "")</f>
        <v/>
      </c>
      <c r="D7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8" s="3" t="str">
        <f>VLOOKUP(_xlfn.NUMBERVALUE(MID(analysis_table[well_no_zero], 2, 2)), column_to_batch, 2, FALSE)</f>
        <v>B</v>
      </c>
      <c r="F78" s="11" t="str">
        <f t="array" ref="F7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8" s="11" t="str">
        <f t="array" ref="G7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8" s="11" t="str">
        <f t="array" ref="H7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8" s="11" t="b">
        <f>NOT(ISNA(VLOOKUP(analysis_table[well_no_zero],control_wells,2,FALSE)))</f>
        <v>0</v>
      </c>
      <c r="K78" s="11" t="str">
        <f>_xlfn.IFNA(VLOOKUP(analysis_table[well_no_zero],control_wells,2,FALSE), "No")</f>
        <v>No</v>
      </c>
      <c r="L7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8" s="38" t="str">
        <f ca="1">IF(analysis_table[is_well_empy], "", VLOOKUP(analysis_table[test_result_auto],result_symbols_auto,2,FALSE))</f>
        <v/>
      </c>
      <c r="O78" s="96"/>
      <c r="P78" s="38" t="b">
        <f>analysis_table[user_result]&lt;&gt; ""</f>
        <v>0</v>
      </c>
      <c r="Q78" s="38" t="str">
        <f>IF(analysis_table[test_status], IF(analysis_table[user_result]="CORRETTO", analysis_table[test_symbol_auto], VLOOKUP(analysis_table[user_result],result_symbols,2,FALSE)), "")</f>
        <v/>
      </c>
      <c r="R78" s="38" t="str">
        <f t="array" aca="1" ref="R7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8" s="38" t="b">
        <f ca="1">IF(OR(analysis_table[is_well_empy]=TRUE, analysis_table[final_result]=""), FALSE, VLOOKUP(analysis_table[final_result],is_result_to_send,2,FALSE))</f>
        <v>0</v>
      </c>
      <c r="T7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8" s="38" t="str">
        <f t="array" aca="1" ref="U7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8" s="38" t="s">
        <v>389</v>
      </c>
      <c r="W78" s="38">
        <v>1</v>
      </c>
    </row>
    <row r="79" spans="1:23" x14ac:dyDescent="0.15">
      <c r="A79" s="3" t="s">
        <v>248</v>
      </c>
      <c r="B79" s="3" t="str">
        <f>MID(analysis_table[well_no_zero],1,1) &amp; IF(VALUE(MID(analysis_table[well_no_zero],2,2)) &lt; 10, "0", "") &amp; MID(analysis_table[well_no_zero],2,2)</f>
        <v>G06</v>
      </c>
      <c r="C79" s="3" t="str">
        <f>IF('Layout piastra'!$B$2 &lt;&gt; "", 'Layout piastra'!$B$2, "")</f>
        <v/>
      </c>
      <c r="D7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79" s="3" t="str">
        <f>VLOOKUP(_xlfn.NUMBERVALUE(MID(analysis_table[well_no_zero], 2, 2)), column_to_batch, 2, FALSE)</f>
        <v>B</v>
      </c>
      <c r="F79" s="11" t="str">
        <f t="array" ref="F7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79" s="11" t="str">
        <f t="array" ref="G7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79" s="11" t="str">
        <f t="array" ref="H7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7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79" s="11" t="b">
        <f>NOT(ISNA(VLOOKUP(analysis_table[well_no_zero],control_wells,2,FALSE)))</f>
        <v>0</v>
      </c>
      <c r="K79" s="11" t="str">
        <f>_xlfn.IFNA(VLOOKUP(analysis_table[well_no_zero],control_wells,2,FALSE), "No")</f>
        <v>No</v>
      </c>
      <c r="L7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7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79" s="38" t="str">
        <f ca="1">IF(analysis_table[is_well_empy], "", VLOOKUP(analysis_table[test_result_auto],result_symbols_auto,2,FALSE))</f>
        <v/>
      </c>
      <c r="O79" s="96"/>
      <c r="P79" s="38" t="b">
        <f>analysis_table[user_result]&lt;&gt; ""</f>
        <v>0</v>
      </c>
      <c r="Q79" s="38" t="str">
        <f>IF(analysis_table[test_status], IF(analysis_table[user_result]="CORRETTO", analysis_table[test_symbol_auto], VLOOKUP(analysis_table[user_result],result_symbols,2,FALSE)), "")</f>
        <v/>
      </c>
      <c r="R79" s="38" t="str">
        <f t="array" aca="1" ref="R7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79" s="38" t="b">
        <f ca="1">IF(OR(analysis_table[is_well_empy]=TRUE, analysis_table[final_result]=""), FALSE, VLOOKUP(analysis_table[final_result],is_result_to_send,2,FALSE))</f>
        <v>0</v>
      </c>
      <c r="T7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79" s="38" t="str">
        <f t="array" aca="1" ref="U7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79" s="38" t="s">
        <v>389</v>
      </c>
      <c r="W79" s="38">
        <v>1</v>
      </c>
    </row>
    <row r="80" spans="1:23" x14ac:dyDescent="0.15">
      <c r="A80" s="3" t="s">
        <v>249</v>
      </c>
      <c r="B80" s="3" t="str">
        <f>MID(analysis_table[well_no_zero],1,1) &amp; IF(VALUE(MID(analysis_table[well_no_zero],2,2)) &lt; 10, "0", "") &amp; MID(analysis_table[well_no_zero],2,2)</f>
        <v>G07</v>
      </c>
      <c r="C80" s="3" t="str">
        <f>IF('Layout piastra'!$B$2 &lt;&gt; "", 'Layout piastra'!$B$2, "")</f>
        <v/>
      </c>
      <c r="D8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0" s="3" t="str">
        <f>VLOOKUP(_xlfn.NUMBERVALUE(MID(analysis_table[well_no_zero], 2, 2)), column_to_batch, 2, FALSE)</f>
        <v>B</v>
      </c>
      <c r="F80" s="11" t="str">
        <f t="array" ref="F8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0" s="11" t="str">
        <f t="array" ref="G8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0" s="11" t="str">
        <f t="array" ref="H8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0" s="11" t="b">
        <f>NOT(ISNA(VLOOKUP(analysis_table[well_no_zero],control_wells,2,FALSE)))</f>
        <v>0</v>
      </c>
      <c r="K80" s="11" t="str">
        <f>_xlfn.IFNA(VLOOKUP(analysis_table[well_no_zero],control_wells,2,FALSE), "No")</f>
        <v>No</v>
      </c>
      <c r="L8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0" s="38" t="str">
        <f ca="1">IF(analysis_table[is_well_empy], "", VLOOKUP(analysis_table[test_result_auto],result_symbols_auto,2,FALSE))</f>
        <v/>
      </c>
      <c r="O80" s="96"/>
      <c r="P80" s="38" t="b">
        <f>analysis_table[user_result]&lt;&gt; ""</f>
        <v>0</v>
      </c>
      <c r="Q80" s="38" t="str">
        <f>IF(analysis_table[test_status], IF(analysis_table[user_result]="CORRETTO", analysis_table[test_symbol_auto], VLOOKUP(analysis_table[user_result],result_symbols,2,FALSE)), "")</f>
        <v/>
      </c>
      <c r="R80" s="38" t="str">
        <f t="array" aca="1" ref="R8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0" s="38" t="b">
        <f ca="1">IF(OR(analysis_table[is_well_empy]=TRUE, analysis_table[final_result]=""), FALSE, VLOOKUP(analysis_table[final_result],is_result_to_send,2,FALSE))</f>
        <v>0</v>
      </c>
      <c r="T8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0" s="38" t="str">
        <f t="array" aca="1" ref="U8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0" s="38" t="s">
        <v>389</v>
      </c>
      <c r="W80" s="38">
        <v>1</v>
      </c>
    </row>
    <row r="81" spans="1:23" x14ac:dyDescent="0.15">
      <c r="A81" s="3" t="s">
        <v>250</v>
      </c>
      <c r="B81" s="3" t="str">
        <f>MID(analysis_table[well_no_zero],1,1) &amp; IF(VALUE(MID(analysis_table[well_no_zero],2,2)) &lt; 10, "0", "") &amp; MID(analysis_table[well_no_zero],2,2)</f>
        <v>G08</v>
      </c>
      <c r="C81" s="3" t="str">
        <f>IF('Layout piastra'!$B$2 &lt;&gt; "", 'Layout piastra'!$B$2, "")</f>
        <v/>
      </c>
      <c r="D8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1" s="3" t="str">
        <f>VLOOKUP(_xlfn.NUMBERVALUE(MID(analysis_table[well_no_zero], 2, 2)), column_to_batch, 2, FALSE)</f>
        <v>B</v>
      </c>
      <c r="F81" s="11" t="str">
        <f t="array" ref="F8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1" s="11" t="str">
        <f t="array" ref="G8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1" s="11" t="str">
        <f t="array" ref="H8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1" s="11" t="b">
        <f>NOT(ISNA(VLOOKUP(analysis_table[well_no_zero],control_wells,2,FALSE)))</f>
        <v>0</v>
      </c>
      <c r="K81" s="11" t="str">
        <f>_xlfn.IFNA(VLOOKUP(analysis_table[well_no_zero],control_wells,2,FALSE), "No")</f>
        <v>No</v>
      </c>
      <c r="L8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1" s="38" t="str">
        <f ca="1">IF(analysis_table[is_well_empy], "", VLOOKUP(analysis_table[test_result_auto],result_symbols_auto,2,FALSE))</f>
        <v/>
      </c>
      <c r="O81" s="96"/>
      <c r="P81" s="38" t="b">
        <f>analysis_table[user_result]&lt;&gt; ""</f>
        <v>0</v>
      </c>
      <c r="Q81" s="38" t="str">
        <f>IF(analysis_table[test_status], IF(analysis_table[user_result]="CORRETTO", analysis_table[test_symbol_auto], VLOOKUP(analysis_table[user_result],result_symbols,2,FALSE)), "")</f>
        <v/>
      </c>
      <c r="R81" s="38" t="str">
        <f t="array" aca="1" ref="R8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1" s="38" t="b">
        <f ca="1">IF(OR(analysis_table[is_well_empy]=TRUE, analysis_table[final_result]=""), FALSE, VLOOKUP(analysis_table[final_result],is_result_to_send,2,FALSE))</f>
        <v>0</v>
      </c>
      <c r="T8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1" s="38" t="str">
        <f t="array" aca="1" ref="U8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1" s="38" t="s">
        <v>389</v>
      </c>
      <c r="W81" s="38">
        <v>1</v>
      </c>
    </row>
    <row r="82" spans="1:23" x14ac:dyDescent="0.15">
      <c r="A82" s="3" t="s">
        <v>251</v>
      </c>
      <c r="B82" s="3" t="str">
        <f>MID(analysis_table[well_no_zero],1,1) &amp; IF(VALUE(MID(analysis_table[well_no_zero],2,2)) &lt; 10, "0", "") &amp; MID(analysis_table[well_no_zero],2,2)</f>
        <v>G09</v>
      </c>
      <c r="C82" s="3" t="str">
        <f>IF('Layout piastra'!$B$2 &lt;&gt; "", 'Layout piastra'!$B$2, "")</f>
        <v/>
      </c>
      <c r="D8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2" s="3" t="str">
        <f>VLOOKUP(_xlfn.NUMBERVALUE(MID(analysis_table[well_no_zero], 2, 2)), column_to_batch, 2, FALSE)</f>
        <v>C</v>
      </c>
      <c r="F82" s="11" t="str">
        <f t="array" ref="F8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2" s="11" t="str">
        <f t="array" ref="G8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2" s="11" t="str">
        <f t="array" ref="H8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2" s="11" t="b">
        <f>NOT(ISNA(VLOOKUP(analysis_table[well_no_zero],control_wells,2,FALSE)))</f>
        <v>0</v>
      </c>
      <c r="K82" s="11" t="str">
        <f>_xlfn.IFNA(VLOOKUP(analysis_table[well_no_zero],control_wells,2,FALSE), "No")</f>
        <v>No</v>
      </c>
      <c r="L8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2" s="38" t="str">
        <f ca="1">IF(analysis_table[is_well_empy], "", VLOOKUP(analysis_table[test_result_auto],result_symbols_auto,2,FALSE))</f>
        <v/>
      </c>
      <c r="O82" s="96"/>
      <c r="P82" s="38" t="b">
        <f>analysis_table[user_result]&lt;&gt; ""</f>
        <v>0</v>
      </c>
      <c r="Q82" s="38" t="str">
        <f>IF(analysis_table[test_status], IF(analysis_table[user_result]="CORRETTO", analysis_table[test_symbol_auto], VLOOKUP(analysis_table[user_result],result_symbols,2,FALSE)), "")</f>
        <v/>
      </c>
      <c r="R82" s="38" t="str">
        <f t="array" aca="1" ref="R8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2" s="38" t="b">
        <f ca="1">IF(OR(analysis_table[is_well_empy]=TRUE, analysis_table[final_result]=""), FALSE, VLOOKUP(analysis_table[final_result],is_result_to_send,2,FALSE))</f>
        <v>0</v>
      </c>
      <c r="T8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2" s="38" t="str">
        <f t="array" aca="1" ref="U8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2" s="38" t="s">
        <v>389</v>
      </c>
      <c r="W82" s="38">
        <v>1</v>
      </c>
    </row>
    <row r="83" spans="1:23" x14ac:dyDescent="0.15">
      <c r="A83" s="3" t="s">
        <v>143</v>
      </c>
      <c r="B83" s="3" t="str">
        <f>MID(analysis_table[well_no_zero],1,1) &amp; IF(VALUE(MID(analysis_table[well_no_zero],2,2)) &lt; 10, "0", "") &amp; MID(analysis_table[well_no_zero],2,2)</f>
        <v>G10</v>
      </c>
      <c r="C83" s="3" t="str">
        <f>IF('Layout piastra'!$B$2 &lt;&gt; "", 'Layout piastra'!$B$2, "")</f>
        <v/>
      </c>
      <c r="D8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3" s="3" t="str">
        <f>VLOOKUP(_xlfn.NUMBERVALUE(MID(analysis_table[well_no_zero], 2, 2)), column_to_batch, 2, FALSE)</f>
        <v>C</v>
      </c>
      <c r="F83" s="11" t="str">
        <f t="array" ref="F8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3" s="11" t="str">
        <f t="array" ref="G8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3" s="11" t="str">
        <f t="array" ref="H8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3" s="11" t="b">
        <f>NOT(ISNA(VLOOKUP(analysis_table[well_no_zero],control_wells,2,FALSE)))</f>
        <v>0</v>
      </c>
      <c r="K83" s="11" t="str">
        <f>_xlfn.IFNA(VLOOKUP(analysis_table[well_no_zero],control_wells,2,FALSE), "No")</f>
        <v>No</v>
      </c>
      <c r="L8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3" s="38" t="str">
        <f ca="1">IF(analysis_table[is_well_empy], "", VLOOKUP(analysis_table[test_result_auto],result_symbols_auto,2,FALSE))</f>
        <v/>
      </c>
      <c r="O83" s="96"/>
      <c r="P83" s="38" t="b">
        <f>analysis_table[user_result]&lt;&gt; ""</f>
        <v>0</v>
      </c>
      <c r="Q83" s="38" t="str">
        <f>IF(analysis_table[test_status], IF(analysis_table[user_result]="CORRETTO", analysis_table[test_symbol_auto], VLOOKUP(analysis_table[user_result],result_symbols,2,FALSE)), "")</f>
        <v/>
      </c>
      <c r="R83" s="38" t="str">
        <f t="array" aca="1" ref="R8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3" s="38" t="b">
        <f ca="1">IF(OR(analysis_table[is_well_empy]=TRUE, analysis_table[final_result]=""), FALSE, VLOOKUP(analysis_table[final_result],is_result_to_send,2,FALSE))</f>
        <v>0</v>
      </c>
      <c r="T8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3" s="38" t="str">
        <f t="array" aca="1" ref="U8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3" s="38" t="s">
        <v>389</v>
      </c>
      <c r="W83" s="38">
        <v>1</v>
      </c>
    </row>
    <row r="84" spans="1:23" x14ac:dyDescent="0.15">
      <c r="A84" s="3" t="s">
        <v>151</v>
      </c>
      <c r="B84" s="3" t="str">
        <f>MID(analysis_table[well_no_zero],1,1) &amp; IF(VALUE(MID(analysis_table[well_no_zero],2,2)) &lt; 10, "0", "") &amp; MID(analysis_table[well_no_zero],2,2)</f>
        <v>G11</v>
      </c>
      <c r="C84" s="3" t="str">
        <f>IF('Layout piastra'!$B$2 &lt;&gt; "", 'Layout piastra'!$B$2, "")</f>
        <v/>
      </c>
      <c r="D8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4" s="3" t="str">
        <f>VLOOKUP(_xlfn.NUMBERVALUE(MID(analysis_table[well_no_zero], 2, 2)), column_to_batch, 2, FALSE)</f>
        <v>C</v>
      </c>
      <c r="F84" s="11" t="str">
        <f t="array" ref="F8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4" s="11" t="str">
        <f t="array" ref="G8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4" s="11" t="str">
        <f t="array" ref="H8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4" s="11" t="b">
        <f>NOT(ISNA(VLOOKUP(analysis_table[well_no_zero],control_wells,2,FALSE)))</f>
        <v>0</v>
      </c>
      <c r="K84" s="11" t="str">
        <f>_xlfn.IFNA(VLOOKUP(analysis_table[well_no_zero],control_wells,2,FALSE), "No")</f>
        <v>No</v>
      </c>
      <c r="L8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4" s="38" t="str">
        <f ca="1">IF(analysis_table[is_well_empy], "", VLOOKUP(analysis_table[test_result_auto],result_symbols_auto,2,FALSE))</f>
        <v/>
      </c>
      <c r="O84" s="96"/>
      <c r="P84" s="38" t="b">
        <f>analysis_table[user_result]&lt;&gt; ""</f>
        <v>0</v>
      </c>
      <c r="Q84" s="38" t="str">
        <f>IF(analysis_table[test_status], IF(analysis_table[user_result]="CORRETTO", analysis_table[test_symbol_auto], VLOOKUP(analysis_table[user_result],result_symbols,2,FALSE)), "")</f>
        <v/>
      </c>
      <c r="R84" s="38" t="str">
        <f t="array" aca="1" ref="R8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4" s="38" t="b">
        <f ca="1">IF(OR(analysis_table[is_well_empy]=TRUE, analysis_table[final_result]=""), FALSE, VLOOKUP(analysis_table[final_result],is_result_to_send,2,FALSE))</f>
        <v>0</v>
      </c>
      <c r="T8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4" s="38" t="str">
        <f t="array" aca="1" ref="U8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4" s="38" t="s">
        <v>389</v>
      </c>
      <c r="W84" s="38">
        <v>1</v>
      </c>
    </row>
    <row r="85" spans="1:23" x14ac:dyDescent="0.15">
      <c r="A85" s="3" t="s">
        <v>159</v>
      </c>
      <c r="B85" s="3" t="str">
        <f>MID(analysis_table[well_no_zero],1,1) &amp; IF(VALUE(MID(analysis_table[well_no_zero],2,2)) &lt; 10, "0", "") &amp; MID(analysis_table[well_no_zero],2,2)</f>
        <v>G12</v>
      </c>
      <c r="C85" s="3" t="str">
        <f>IF('Layout piastra'!$B$2 &lt;&gt; "", 'Layout piastra'!$B$2, "")</f>
        <v/>
      </c>
      <c r="D8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5" s="3" t="str">
        <f>VLOOKUP(_xlfn.NUMBERVALUE(MID(analysis_table[well_no_zero], 2, 2)), column_to_batch, 2, FALSE)</f>
        <v>C</v>
      </c>
      <c r="F85" s="11" t="str">
        <f t="array" ref="F8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5" s="11" t="str">
        <f t="array" ref="G8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5" s="11" t="str">
        <f t="array" ref="H8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5" s="11" t="b">
        <f>NOT(ISNA(VLOOKUP(analysis_table[well_no_zero],control_wells,2,FALSE)))</f>
        <v>0</v>
      </c>
      <c r="K85" s="11" t="str">
        <f>_xlfn.IFNA(VLOOKUP(analysis_table[well_no_zero],control_wells,2,FALSE), "No")</f>
        <v>No</v>
      </c>
      <c r="L8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5" s="38" t="str">
        <f ca="1">IF(analysis_table[is_well_empy], "", VLOOKUP(analysis_table[test_result_auto],result_symbols_auto,2,FALSE))</f>
        <v/>
      </c>
      <c r="O85" s="96"/>
      <c r="P85" s="38" t="b">
        <f>analysis_table[user_result]&lt;&gt; ""</f>
        <v>0</v>
      </c>
      <c r="Q85" s="38" t="str">
        <f>IF(analysis_table[test_status], IF(analysis_table[user_result]="CORRETTO", analysis_table[test_symbol_auto], VLOOKUP(analysis_table[user_result],result_symbols,2,FALSE)), "")</f>
        <v/>
      </c>
      <c r="R85" s="38" t="str">
        <f t="array" aca="1" ref="R8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5" s="38" t="b">
        <f ca="1">IF(OR(analysis_table[is_well_empy]=TRUE, analysis_table[final_result]=""), FALSE, VLOOKUP(analysis_table[final_result],is_result_to_send,2,FALSE))</f>
        <v>0</v>
      </c>
      <c r="T8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5" s="38" t="str">
        <f t="array" aca="1" ref="U8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5" s="38" t="s">
        <v>389</v>
      </c>
      <c r="W85" s="38">
        <v>1</v>
      </c>
    </row>
    <row r="86" spans="1:23" x14ac:dyDescent="0.15">
      <c r="A86" s="3" t="s">
        <v>102</v>
      </c>
      <c r="B86" s="3" t="str">
        <f>MID(analysis_table[well_no_zero],1,1) &amp; IF(VALUE(MID(analysis_table[well_no_zero],2,2)) &lt; 10, "0", "") &amp; MID(analysis_table[well_no_zero],2,2)</f>
        <v>H01</v>
      </c>
      <c r="C86" s="3" t="str">
        <f>IF('Layout piastra'!$B$2 &lt;&gt; "", 'Layout piastra'!$B$2, "")</f>
        <v/>
      </c>
      <c r="D8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6" s="3" t="str">
        <f>VLOOKUP(_xlfn.NUMBERVALUE(MID(analysis_table[well_no_zero], 2, 2)), column_to_batch, 2, FALSE)</f>
        <v>A</v>
      </c>
      <c r="F86" s="11" t="str">
        <f t="array" ref="F8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6" s="11" t="str">
        <f t="array" ref="G8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6" s="11" t="str">
        <f t="array" ref="H8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6" s="11" t="b">
        <f>NOT(ISNA(VLOOKUP(analysis_table[well_no_zero],control_wells,2,FALSE)))</f>
        <v>0</v>
      </c>
      <c r="K86" s="11" t="str">
        <f>_xlfn.IFNA(VLOOKUP(analysis_table[well_no_zero],control_wells,2,FALSE), "No")</f>
        <v>No</v>
      </c>
      <c r="L8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6" s="38" t="str">
        <f ca="1">IF(analysis_table[is_well_empy], "", VLOOKUP(analysis_table[test_result_auto],result_symbols_auto,2,FALSE))</f>
        <v/>
      </c>
      <c r="O86" s="96"/>
      <c r="P86" s="38" t="b">
        <f>analysis_table[user_result]&lt;&gt; ""</f>
        <v>0</v>
      </c>
      <c r="Q86" s="38" t="str">
        <f>IF(analysis_table[test_status], IF(analysis_table[user_result]="CORRETTO", analysis_table[test_symbol_auto], VLOOKUP(analysis_table[user_result],result_symbols,2,FALSE)), "")</f>
        <v/>
      </c>
      <c r="R86" s="38" t="str">
        <f t="array" aca="1" ref="R8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6" s="38" t="b">
        <f ca="1">IF(OR(analysis_table[is_well_empy]=TRUE, analysis_table[final_result]=""), FALSE, VLOOKUP(analysis_table[final_result],is_result_to_send,2,FALSE))</f>
        <v>0</v>
      </c>
      <c r="T8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6" s="38" t="str">
        <f t="array" aca="1" ref="U8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6" s="38" t="s">
        <v>389</v>
      </c>
      <c r="W86" s="38">
        <v>1</v>
      </c>
    </row>
    <row r="87" spans="1:23" x14ac:dyDescent="0.15">
      <c r="A87" s="3" t="s">
        <v>252</v>
      </c>
      <c r="B87" s="3" t="str">
        <f>MID(analysis_table[well_no_zero],1,1) &amp; IF(VALUE(MID(analysis_table[well_no_zero],2,2)) &lt; 10, "0", "") &amp; MID(analysis_table[well_no_zero],2,2)</f>
        <v>H02</v>
      </c>
      <c r="C87" s="3" t="str">
        <f>IF('Layout piastra'!$B$2 &lt;&gt; "", 'Layout piastra'!$B$2, "")</f>
        <v/>
      </c>
      <c r="D8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7" s="3" t="str">
        <f>VLOOKUP(_xlfn.NUMBERVALUE(MID(analysis_table[well_no_zero], 2, 2)), column_to_batch, 2, FALSE)</f>
        <v>A</v>
      </c>
      <c r="F87" s="11" t="str">
        <f t="array" ref="F8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7" s="11" t="str">
        <f t="array" ref="G8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7" s="11" t="str">
        <f t="array" ref="H8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7" s="11" t="b">
        <f>NOT(ISNA(VLOOKUP(analysis_table[well_no_zero],control_wells,2,FALSE)))</f>
        <v>0</v>
      </c>
      <c r="K87" s="11" t="str">
        <f>_xlfn.IFNA(VLOOKUP(analysis_table[well_no_zero],control_wells,2,FALSE), "No")</f>
        <v>No</v>
      </c>
      <c r="L8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7" s="38" t="str">
        <f ca="1">IF(analysis_table[is_well_empy], "", VLOOKUP(analysis_table[test_result_auto],result_symbols_auto,2,FALSE))</f>
        <v/>
      </c>
      <c r="O87" s="96"/>
      <c r="P87" s="38" t="b">
        <f>analysis_table[user_result]&lt;&gt; ""</f>
        <v>0</v>
      </c>
      <c r="Q87" s="38" t="str">
        <f>IF(analysis_table[test_status], IF(analysis_table[user_result]="CORRETTO", analysis_table[test_symbol_auto], VLOOKUP(analysis_table[user_result],result_symbols,2,FALSE)), "")</f>
        <v/>
      </c>
      <c r="R87" s="38" t="str">
        <f t="array" aca="1" ref="R8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7" s="38" t="b">
        <f ca="1">IF(OR(analysis_table[is_well_empy]=TRUE, analysis_table[final_result]=""), FALSE, VLOOKUP(analysis_table[final_result],is_result_to_send,2,FALSE))</f>
        <v>0</v>
      </c>
      <c r="T8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7" s="38" t="str">
        <f t="array" aca="1" ref="U8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7" s="38" t="s">
        <v>389</v>
      </c>
      <c r="W87" s="38">
        <v>1</v>
      </c>
    </row>
    <row r="88" spans="1:23" x14ac:dyDescent="0.15">
      <c r="A88" s="3" t="s">
        <v>253</v>
      </c>
      <c r="B88" s="3" t="str">
        <f>MID(analysis_table[well_no_zero],1,1) &amp; IF(VALUE(MID(analysis_table[well_no_zero],2,2)) &lt; 10, "0", "") &amp; MID(analysis_table[well_no_zero],2,2)</f>
        <v>H03</v>
      </c>
      <c r="C88" s="3" t="str">
        <f>IF('Layout piastra'!$B$2 &lt;&gt; "", 'Layout piastra'!$B$2, "")</f>
        <v/>
      </c>
      <c r="D88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8" s="3" t="str">
        <f>VLOOKUP(_xlfn.NUMBERVALUE(MID(analysis_table[well_no_zero], 2, 2)), column_to_batch, 2, FALSE)</f>
        <v>A</v>
      </c>
      <c r="F88" s="11" t="str">
        <f t="array" ref="F88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8" s="11" t="str">
        <f t="array" ref="G88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8" s="11" t="str">
        <f t="array" ref="H88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8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8" s="11" t="b">
        <f>NOT(ISNA(VLOOKUP(analysis_table[well_no_zero],control_wells,2,FALSE)))</f>
        <v>0</v>
      </c>
      <c r="K88" s="11" t="str">
        <f>_xlfn.IFNA(VLOOKUP(analysis_table[well_no_zero],control_wells,2,FALSE), "No")</f>
        <v>No</v>
      </c>
      <c r="L88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8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8" s="38" t="str">
        <f ca="1">IF(analysis_table[is_well_empy], "", VLOOKUP(analysis_table[test_result_auto],result_symbols_auto,2,FALSE))</f>
        <v/>
      </c>
      <c r="O88" s="96"/>
      <c r="P88" s="38" t="b">
        <f>analysis_table[user_result]&lt;&gt; ""</f>
        <v>0</v>
      </c>
      <c r="Q88" s="38" t="str">
        <f>IF(analysis_table[test_status], IF(analysis_table[user_result]="CORRETTO", analysis_table[test_symbol_auto], VLOOKUP(analysis_table[user_result],result_symbols,2,FALSE)), "")</f>
        <v/>
      </c>
      <c r="R88" s="38" t="str">
        <f t="array" aca="1" ref="R88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8" s="38" t="b">
        <f ca="1">IF(OR(analysis_table[is_well_empy]=TRUE, analysis_table[final_result]=""), FALSE, VLOOKUP(analysis_table[final_result],is_result_to_send,2,FALSE))</f>
        <v>0</v>
      </c>
      <c r="T88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8" s="38" t="str">
        <f t="array" aca="1" ref="U88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8" s="38" t="s">
        <v>389</v>
      </c>
      <c r="W88" s="38">
        <v>1</v>
      </c>
    </row>
    <row r="89" spans="1:23" x14ac:dyDescent="0.15">
      <c r="A89" s="3" t="s">
        <v>254</v>
      </c>
      <c r="B89" s="3" t="str">
        <f>MID(analysis_table[well_no_zero],1,1) &amp; IF(VALUE(MID(analysis_table[well_no_zero],2,2)) &lt; 10, "0", "") &amp; MID(analysis_table[well_no_zero],2,2)</f>
        <v>H04</v>
      </c>
      <c r="C89" s="3" t="str">
        <f>IF('Layout piastra'!$B$2 &lt;&gt; "", 'Layout piastra'!$B$2, "")</f>
        <v/>
      </c>
      <c r="D89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89" s="3" t="str">
        <f>VLOOKUP(_xlfn.NUMBERVALUE(MID(analysis_table[well_no_zero], 2, 2)), column_to_batch, 2, FALSE)</f>
        <v>A</v>
      </c>
      <c r="F89" s="11" t="str">
        <f t="array" ref="F89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89" s="11" t="str">
        <f t="array" ref="G89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89" s="11" t="str">
        <f t="array" ref="H89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89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89" s="11" t="b">
        <f>NOT(ISNA(VLOOKUP(analysis_table[well_no_zero],control_wells,2,FALSE)))</f>
        <v>0</v>
      </c>
      <c r="K89" s="11" t="str">
        <f>_xlfn.IFNA(VLOOKUP(analysis_table[well_no_zero],control_wells,2,FALSE), "No")</f>
        <v>No</v>
      </c>
      <c r="L89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89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89" s="38" t="str">
        <f ca="1">IF(analysis_table[is_well_empy], "", VLOOKUP(analysis_table[test_result_auto],result_symbols_auto,2,FALSE))</f>
        <v/>
      </c>
      <c r="O89" s="96"/>
      <c r="P89" s="38" t="b">
        <f>analysis_table[user_result]&lt;&gt; ""</f>
        <v>0</v>
      </c>
      <c r="Q89" s="38" t="str">
        <f>IF(analysis_table[test_status], IF(analysis_table[user_result]="CORRETTO", analysis_table[test_symbol_auto], VLOOKUP(analysis_table[user_result],result_symbols,2,FALSE)), "")</f>
        <v/>
      </c>
      <c r="R89" s="38" t="str">
        <f t="array" aca="1" ref="R89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89" s="38" t="b">
        <f ca="1">IF(OR(analysis_table[is_well_empy]=TRUE, analysis_table[final_result]=""), FALSE, VLOOKUP(analysis_table[final_result],is_result_to_send,2,FALSE))</f>
        <v>0</v>
      </c>
      <c r="T89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89" s="38" t="str">
        <f t="array" aca="1" ref="U89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89" s="38" t="s">
        <v>389</v>
      </c>
      <c r="W89" s="38">
        <v>1</v>
      </c>
    </row>
    <row r="90" spans="1:23" x14ac:dyDescent="0.15">
      <c r="A90" s="3" t="s">
        <v>255</v>
      </c>
      <c r="B90" s="3" t="str">
        <f>MID(analysis_table[well_no_zero],1,1) &amp; IF(VALUE(MID(analysis_table[well_no_zero],2,2)) &lt; 10, "0", "") &amp; MID(analysis_table[well_no_zero],2,2)</f>
        <v>H05</v>
      </c>
      <c r="C90" s="3" t="str">
        <f>IF('Layout piastra'!$B$2 &lt;&gt; "", 'Layout piastra'!$B$2, "")</f>
        <v/>
      </c>
      <c r="D90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0" s="3" t="str">
        <f>VLOOKUP(_xlfn.NUMBERVALUE(MID(analysis_table[well_no_zero], 2, 2)), column_to_batch, 2, FALSE)</f>
        <v>B</v>
      </c>
      <c r="F90" s="11" t="str">
        <f t="array" ref="F90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0" s="11" t="str">
        <f t="array" ref="G90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0" s="11" t="str">
        <f t="array" ref="H90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0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0" s="11" t="b">
        <f>NOT(ISNA(VLOOKUP(analysis_table[well_no_zero],control_wells,2,FALSE)))</f>
        <v>0</v>
      </c>
      <c r="K90" s="11" t="str">
        <f>_xlfn.IFNA(VLOOKUP(analysis_table[well_no_zero],control_wells,2,FALSE), "No")</f>
        <v>No</v>
      </c>
      <c r="L90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0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0" s="38" t="str">
        <f ca="1">IF(analysis_table[is_well_empy], "", VLOOKUP(analysis_table[test_result_auto],result_symbols_auto,2,FALSE))</f>
        <v/>
      </c>
      <c r="O90" s="96"/>
      <c r="P90" s="38" t="b">
        <f>analysis_table[user_result]&lt;&gt; ""</f>
        <v>0</v>
      </c>
      <c r="Q90" s="38" t="str">
        <f>IF(analysis_table[test_status], IF(analysis_table[user_result]="CORRETTO", analysis_table[test_symbol_auto], VLOOKUP(analysis_table[user_result],result_symbols,2,FALSE)), "")</f>
        <v/>
      </c>
      <c r="R90" s="38" t="str">
        <f t="array" aca="1" ref="R90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0" s="38" t="b">
        <f ca="1">IF(OR(analysis_table[is_well_empy]=TRUE, analysis_table[final_result]=""), FALSE, VLOOKUP(analysis_table[final_result],is_result_to_send,2,FALSE))</f>
        <v>0</v>
      </c>
      <c r="T90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0" s="38" t="str">
        <f t="array" aca="1" ref="U90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0" s="38" t="s">
        <v>389</v>
      </c>
      <c r="W90" s="38">
        <v>1</v>
      </c>
    </row>
    <row r="91" spans="1:23" x14ac:dyDescent="0.15">
      <c r="A91" s="3" t="s">
        <v>256</v>
      </c>
      <c r="B91" s="3" t="str">
        <f>MID(analysis_table[well_no_zero],1,1) &amp; IF(VALUE(MID(analysis_table[well_no_zero],2,2)) &lt; 10, "0", "") &amp; MID(analysis_table[well_no_zero],2,2)</f>
        <v>H06</v>
      </c>
      <c r="C91" s="3" t="str">
        <f>IF('Layout piastra'!$B$2 &lt;&gt; "", 'Layout piastra'!$B$2, "")</f>
        <v/>
      </c>
      <c r="D91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1" s="3" t="str">
        <f>VLOOKUP(_xlfn.NUMBERVALUE(MID(analysis_table[well_no_zero], 2, 2)), column_to_batch, 2, FALSE)</f>
        <v>B</v>
      </c>
      <c r="F91" s="11" t="str">
        <f t="array" ref="F91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1" s="11" t="str">
        <f t="array" ref="G91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1" s="11" t="str">
        <f t="array" ref="H91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1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1" s="11" t="b">
        <f>NOT(ISNA(VLOOKUP(analysis_table[well_no_zero],control_wells,2,FALSE)))</f>
        <v>0</v>
      </c>
      <c r="K91" s="11" t="str">
        <f>_xlfn.IFNA(VLOOKUP(analysis_table[well_no_zero],control_wells,2,FALSE), "No")</f>
        <v>No</v>
      </c>
      <c r="L91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1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1" s="38" t="str">
        <f ca="1">IF(analysis_table[is_well_empy], "", VLOOKUP(analysis_table[test_result_auto],result_symbols_auto,2,FALSE))</f>
        <v/>
      </c>
      <c r="O91" s="96"/>
      <c r="P91" s="38" t="b">
        <f>analysis_table[user_result]&lt;&gt; ""</f>
        <v>0</v>
      </c>
      <c r="Q91" s="38" t="str">
        <f>IF(analysis_table[test_status], IF(analysis_table[user_result]="CORRETTO", analysis_table[test_symbol_auto], VLOOKUP(analysis_table[user_result],result_symbols,2,FALSE)), "")</f>
        <v/>
      </c>
      <c r="R91" s="38" t="str">
        <f t="array" aca="1" ref="R91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1" s="38" t="b">
        <f ca="1">IF(OR(analysis_table[is_well_empy]=TRUE, analysis_table[final_result]=""), FALSE, VLOOKUP(analysis_table[final_result],is_result_to_send,2,FALSE))</f>
        <v>0</v>
      </c>
      <c r="T91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1" s="38" t="str">
        <f t="array" aca="1" ref="U91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1" s="38" t="s">
        <v>389</v>
      </c>
      <c r="W91" s="38">
        <v>1</v>
      </c>
    </row>
    <row r="92" spans="1:23" x14ac:dyDescent="0.15">
      <c r="A92" s="3" t="s">
        <v>257</v>
      </c>
      <c r="B92" s="3" t="str">
        <f>MID(analysis_table[well_no_zero],1,1) &amp; IF(VALUE(MID(analysis_table[well_no_zero],2,2)) &lt; 10, "0", "") &amp; MID(analysis_table[well_no_zero],2,2)</f>
        <v>H07</v>
      </c>
      <c r="C92" s="3" t="str">
        <f>IF('Layout piastra'!$B$2 &lt;&gt; "", 'Layout piastra'!$B$2, "")</f>
        <v/>
      </c>
      <c r="D92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2" s="3" t="str">
        <f>VLOOKUP(_xlfn.NUMBERVALUE(MID(analysis_table[well_no_zero], 2, 2)), column_to_batch, 2, FALSE)</f>
        <v>B</v>
      </c>
      <c r="F92" s="11" t="str">
        <f t="array" ref="F92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2" s="11" t="str">
        <f t="array" ref="G92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2" s="11" t="str">
        <f t="array" ref="H92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2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2" s="11" t="b">
        <f>NOT(ISNA(VLOOKUP(analysis_table[well_no_zero],control_wells,2,FALSE)))</f>
        <v>0</v>
      </c>
      <c r="K92" s="11" t="str">
        <f>_xlfn.IFNA(VLOOKUP(analysis_table[well_no_zero],control_wells,2,FALSE), "No")</f>
        <v>No</v>
      </c>
      <c r="L92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2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2" s="38" t="str">
        <f ca="1">IF(analysis_table[is_well_empy], "", VLOOKUP(analysis_table[test_result_auto],result_symbols_auto,2,FALSE))</f>
        <v/>
      </c>
      <c r="O92" s="96"/>
      <c r="P92" s="38" t="b">
        <f>analysis_table[user_result]&lt;&gt; ""</f>
        <v>0</v>
      </c>
      <c r="Q92" s="38" t="str">
        <f>IF(analysis_table[test_status], IF(analysis_table[user_result]="CORRETTO", analysis_table[test_symbol_auto], VLOOKUP(analysis_table[user_result],result_symbols,2,FALSE)), "")</f>
        <v/>
      </c>
      <c r="R92" s="38" t="str">
        <f t="array" aca="1" ref="R92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2" s="38" t="b">
        <f ca="1">IF(OR(analysis_table[is_well_empy]=TRUE, analysis_table[final_result]=""), FALSE, VLOOKUP(analysis_table[final_result],is_result_to_send,2,FALSE))</f>
        <v>0</v>
      </c>
      <c r="T92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2" s="38" t="str">
        <f t="array" aca="1" ref="U92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2" s="38" t="s">
        <v>389</v>
      </c>
      <c r="W92" s="38">
        <v>1</v>
      </c>
    </row>
    <row r="93" spans="1:23" x14ac:dyDescent="0.15">
      <c r="A93" s="3" t="s">
        <v>258</v>
      </c>
      <c r="B93" s="3" t="str">
        <f>MID(analysis_table[well_no_zero],1,1) &amp; IF(VALUE(MID(analysis_table[well_no_zero],2,2)) &lt; 10, "0", "") &amp; MID(analysis_table[well_no_zero],2,2)</f>
        <v>H08</v>
      </c>
      <c r="C93" s="3" t="str">
        <f>IF('Layout piastra'!$B$2 &lt;&gt; "", 'Layout piastra'!$B$2, "")</f>
        <v/>
      </c>
      <c r="D93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3" s="3" t="str">
        <f>VLOOKUP(_xlfn.NUMBERVALUE(MID(analysis_table[well_no_zero], 2, 2)), column_to_batch, 2, FALSE)</f>
        <v>B</v>
      </c>
      <c r="F93" s="11" t="str">
        <f t="array" ref="F93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3" s="11" t="str">
        <f t="array" ref="G93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3" s="11" t="str">
        <f t="array" ref="H93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3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3" s="11" t="b">
        <f>NOT(ISNA(VLOOKUP(analysis_table[well_no_zero],control_wells,2,FALSE)))</f>
        <v>0</v>
      </c>
      <c r="K93" s="11" t="str">
        <f>_xlfn.IFNA(VLOOKUP(analysis_table[well_no_zero],control_wells,2,FALSE), "No")</f>
        <v>No</v>
      </c>
      <c r="L93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3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3" s="38" t="str">
        <f ca="1">IF(analysis_table[is_well_empy], "", VLOOKUP(analysis_table[test_result_auto],result_symbols_auto,2,FALSE))</f>
        <v/>
      </c>
      <c r="O93" s="96"/>
      <c r="P93" s="38" t="b">
        <f>analysis_table[user_result]&lt;&gt; ""</f>
        <v>0</v>
      </c>
      <c r="Q93" s="38" t="str">
        <f>IF(analysis_table[test_status], IF(analysis_table[user_result]="CORRETTO", analysis_table[test_symbol_auto], VLOOKUP(analysis_table[user_result],result_symbols,2,FALSE)), "")</f>
        <v/>
      </c>
      <c r="R93" s="38" t="str">
        <f t="array" aca="1" ref="R93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3" s="38" t="b">
        <f ca="1">IF(OR(analysis_table[is_well_empy]=TRUE, analysis_table[final_result]=""), FALSE, VLOOKUP(analysis_table[final_result],is_result_to_send,2,FALSE))</f>
        <v>0</v>
      </c>
      <c r="T93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3" s="38" t="str">
        <f t="array" aca="1" ref="U93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3" s="38" t="s">
        <v>389</v>
      </c>
      <c r="W93" s="38">
        <v>1</v>
      </c>
    </row>
    <row r="94" spans="1:23" x14ac:dyDescent="0.15">
      <c r="A94" s="3" t="s">
        <v>259</v>
      </c>
      <c r="B94" s="3" t="str">
        <f>MID(analysis_table[well_no_zero],1,1) &amp; IF(VALUE(MID(analysis_table[well_no_zero],2,2)) &lt; 10, "0", "") &amp; MID(analysis_table[well_no_zero],2,2)</f>
        <v>H09</v>
      </c>
      <c r="C94" s="3" t="str">
        <f>IF('Layout piastra'!$B$2 &lt;&gt; "", 'Layout piastra'!$B$2, "")</f>
        <v/>
      </c>
      <c r="D94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4" s="3" t="str">
        <f>VLOOKUP(_xlfn.NUMBERVALUE(MID(analysis_table[well_no_zero], 2, 2)), column_to_batch, 2, FALSE)</f>
        <v>C</v>
      </c>
      <c r="F94" s="11" t="str">
        <f t="array" ref="F94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4" s="11" t="str">
        <f t="array" ref="G94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4" s="11" t="str">
        <f t="array" ref="H94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4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4" s="11" t="b">
        <f>NOT(ISNA(VLOOKUP(analysis_table[well_no_zero],control_wells,2,FALSE)))</f>
        <v>0</v>
      </c>
      <c r="K94" s="11" t="str">
        <f>_xlfn.IFNA(VLOOKUP(analysis_table[well_no_zero],control_wells,2,FALSE), "No")</f>
        <v>No</v>
      </c>
      <c r="L94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4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4" s="38" t="str">
        <f ca="1">IF(analysis_table[is_well_empy], "", VLOOKUP(analysis_table[test_result_auto],result_symbols_auto,2,FALSE))</f>
        <v/>
      </c>
      <c r="O94" s="96"/>
      <c r="P94" s="38" t="b">
        <f>analysis_table[user_result]&lt;&gt; ""</f>
        <v>0</v>
      </c>
      <c r="Q94" s="38" t="str">
        <f>IF(analysis_table[test_status], IF(analysis_table[user_result]="CORRETTO", analysis_table[test_symbol_auto], VLOOKUP(analysis_table[user_result],result_symbols,2,FALSE)), "")</f>
        <v/>
      </c>
      <c r="R94" s="38" t="str">
        <f t="array" aca="1" ref="R94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4" s="38" t="b">
        <f ca="1">IF(OR(analysis_table[is_well_empy]=TRUE, analysis_table[final_result]=""), FALSE, VLOOKUP(analysis_table[final_result],is_result_to_send,2,FALSE))</f>
        <v>0</v>
      </c>
      <c r="T94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4" s="38" t="str">
        <f t="array" aca="1" ref="U94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4" s="38" t="s">
        <v>389</v>
      </c>
      <c r="W94" s="38">
        <v>1</v>
      </c>
    </row>
    <row r="95" spans="1:23" x14ac:dyDescent="0.15">
      <c r="A95" s="3" t="s">
        <v>144</v>
      </c>
      <c r="B95" s="3" t="str">
        <f>MID(analysis_table[well_no_zero],1,1) &amp; IF(VALUE(MID(analysis_table[well_no_zero],2,2)) &lt; 10, "0", "") &amp; MID(analysis_table[well_no_zero],2,2)</f>
        <v>H10</v>
      </c>
      <c r="C95" s="3" t="str">
        <f>IF('Layout piastra'!$B$2 &lt;&gt; "", 'Layout piastra'!$B$2, "")</f>
        <v/>
      </c>
      <c r="D95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5" s="3" t="str">
        <f>VLOOKUP(_xlfn.NUMBERVALUE(MID(analysis_table[well_no_zero], 2, 2)), column_to_batch, 2, FALSE)</f>
        <v>C</v>
      </c>
      <c r="F95" s="11" t="str">
        <f t="array" ref="F95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5" s="11" t="str">
        <f t="array" ref="G95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5" s="11" t="str">
        <f t="array" ref="H95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5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5" s="11" t="b">
        <f>NOT(ISNA(VLOOKUP(analysis_table[well_no_zero],control_wells,2,FALSE)))</f>
        <v>0</v>
      </c>
      <c r="K95" s="11" t="str">
        <f>_xlfn.IFNA(VLOOKUP(analysis_table[well_no_zero],control_wells,2,FALSE), "No")</f>
        <v>No</v>
      </c>
      <c r="L95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5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5" s="38" t="str">
        <f ca="1">IF(analysis_table[is_well_empy], "", VLOOKUP(analysis_table[test_result_auto],result_symbols_auto,2,FALSE))</f>
        <v/>
      </c>
      <c r="O95" s="96"/>
      <c r="P95" s="38" t="b">
        <f>analysis_table[user_result]&lt;&gt; ""</f>
        <v>0</v>
      </c>
      <c r="Q95" s="38" t="str">
        <f>IF(analysis_table[test_status], IF(analysis_table[user_result]="CORRETTO", analysis_table[test_symbol_auto], VLOOKUP(analysis_table[user_result],result_symbols,2,FALSE)), "")</f>
        <v/>
      </c>
      <c r="R95" s="38" t="str">
        <f t="array" aca="1" ref="R95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5" s="38" t="b">
        <f ca="1">IF(OR(analysis_table[is_well_empy]=TRUE, analysis_table[final_result]=""), FALSE, VLOOKUP(analysis_table[final_result],is_result_to_send,2,FALSE))</f>
        <v>0</v>
      </c>
      <c r="T95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5" s="38" t="str">
        <f t="array" aca="1" ref="U95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5" s="38" t="s">
        <v>389</v>
      </c>
      <c r="W95" s="38">
        <v>1</v>
      </c>
    </row>
    <row r="96" spans="1:23" x14ac:dyDescent="0.15">
      <c r="A96" s="3" t="s">
        <v>152</v>
      </c>
      <c r="B96" s="3" t="str">
        <f>MID(analysis_table[well_no_zero],1,1) &amp; IF(VALUE(MID(analysis_table[well_no_zero],2,2)) &lt; 10, "0", "") &amp; MID(analysis_table[well_no_zero],2,2)</f>
        <v>H11</v>
      </c>
      <c r="C96" s="3" t="str">
        <f>IF('Layout piastra'!$B$2 &lt;&gt; "", 'Layout piastra'!$B$2, "")</f>
        <v/>
      </c>
      <c r="D96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6" s="3" t="str">
        <f>VLOOKUP(_xlfn.NUMBERVALUE(MID(analysis_table[well_no_zero], 2, 2)), column_to_batch, 2, FALSE)</f>
        <v>C</v>
      </c>
      <c r="F96" s="11" t="str">
        <f t="array" ref="F96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6" s="11" t="str">
        <f t="array" ref="G96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6" s="11" t="str">
        <f t="array" ref="H96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6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6" s="11" t="b">
        <f>NOT(ISNA(VLOOKUP(analysis_table[well_no_zero],control_wells,2,FALSE)))</f>
        <v>0</v>
      </c>
      <c r="K96" s="11" t="str">
        <f>_xlfn.IFNA(VLOOKUP(analysis_table[well_no_zero],control_wells,2,FALSE), "No")</f>
        <v>No</v>
      </c>
      <c r="L96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6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6" s="38" t="str">
        <f ca="1">IF(analysis_table[is_well_empy], "", VLOOKUP(analysis_table[test_result_auto],result_symbols_auto,2,FALSE))</f>
        <v/>
      </c>
      <c r="O96" s="96"/>
      <c r="P96" s="38" t="b">
        <f>analysis_table[user_result]&lt;&gt; ""</f>
        <v>0</v>
      </c>
      <c r="Q96" s="38" t="str">
        <f>IF(analysis_table[test_status], IF(analysis_table[user_result]="CORRETTO", analysis_table[test_symbol_auto], VLOOKUP(analysis_table[user_result],result_symbols,2,FALSE)), "")</f>
        <v/>
      </c>
      <c r="R96" s="38" t="str">
        <f t="array" aca="1" ref="R96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6" s="38" t="b">
        <f ca="1">IF(OR(analysis_table[is_well_empy]=TRUE, analysis_table[final_result]=""), FALSE, VLOOKUP(analysis_table[final_result],is_result_to_send,2,FALSE))</f>
        <v>0</v>
      </c>
      <c r="T96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6" s="38" t="str">
        <f t="array" aca="1" ref="U96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6" s="38" t="s">
        <v>389</v>
      </c>
      <c r="W96" s="38">
        <v>1</v>
      </c>
    </row>
    <row r="97" spans="1:23" x14ac:dyDescent="0.15">
      <c r="A97" s="3" t="s">
        <v>160</v>
      </c>
      <c r="B97" s="3" t="str">
        <f>MID(analysis_table[well_no_zero],1,1) &amp; IF(VALUE(MID(analysis_table[well_no_zero],2,2)) &lt; 10, "0", "") &amp; MID(analysis_table[well_no_zero],2,2)</f>
        <v>H12</v>
      </c>
      <c r="C97" s="3" t="str">
        <f>IF('Layout piastra'!$B$2 &lt;&gt; "", 'Layout piastra'!$B$2, "")</f>
        <v/>
      </c>
      <c r="D97" s="3" t="str">
        <f ca="1">IF(INDIRECT(ADDRESS(FIND(MID(analysis_table[well_no_zero],1,1),"ABCDEFGH")+10,MID(analysis_table[well_no_zero],2,2)+2,1,1, "Layout piastra"))="", "", INDIRECT(ADDRESS(FIND(MID(analysis_table[well_no_zero],1,1),"ABCDEFGH")+10,MID(analysis_table[well_no_zero],2,2)+2,1,1, "Layout piastra")))</f>
        <v/>
      </c>
      <c r="E97" s="3" t="str">
        <f>VLOOKUP(_xlfn.NUMBERVALUE(MID(analysis_table[well_no_zero], 2, 2)), column_to_batch, 2, FALSE)</f>
        <v>C</v>
      </c>
      <c r="F97" s="11" t="str">
        <f t="array" ref="F97">VLOOKUP(analysis_table[[#This Row],[well_with_zero]] &amp; "-" &amp; "Cy5", CHOOSE({1,2}, 'Risultato Biorad'!$B$2:$B$289 &amp; "-" &amp;  'Risultato Biorad'!$C$2:$C$289, IF('Risultato Biorad'!$G$2:$G$289 = "", "N/A", 'Risultato Biorad'!$G$2:$G$289)), 2, FALSE)</f>
        <v>N/A</v>
      </c>
      <c r="G97" s="11" t="str">
        <f t="array" ref="G97">VLOOKUP(analysis_table[[#This Row],[well_with_zero]] &amp; "-" &amp; "FAM", CHOOSE({1,2}, 'Risultato Biorad'!$B$2:$B$289 &amp; "-" &amp;  'Risultato Biorad'!$C$2:$C$289, IF('Risultato Biorad'!$G$2:$G$289 = "", "N/A", 'Risultato Biorad'!$G$2:$G$289)), 2, FALSE)</f>
        <v>N/A</v>
      </c>
      <c r="H97" s="11" t="str">
        <f t="array" ref="H97">VLOOKUP(analysis_table[[#This Row],[well_with_zero]] &amp; "-" &amp; "HEX", CHOOSE({1,2}, 'Risultato Biorad'!$B$2:$B$289 &amp; "-" &amp;  'Risultato Biorad'!$C$2:$C$289, IF('Risultato Biorad'!$G$2:$G$289 = "", "N/A", 'Risultato Biorad'!$G$2:$G$289)), 2, FALSE)</f>
        <v>N/A</v>
      </c>
      <c r="I97" s="38" t="b">
        <f ca="1">AND(analysis_table[barcode] = "", OR(analysis_table[cy5_cq]="NaN",analysis_table[cy5_cq] = "N/A", analysis_table[cy5_cq] = "", ISNA(analysis_table[cy5_cq])), OR(analysis_table[fam_cq]="NaN", analysis_table[fam_cq] = "N/A",analysis_table[fam_cq] = "",ISNA(analysis_table[fam_cq])), OR(analysis_table[hex_cq]="NaN",analysis_table[hex_cq] = "N/A", analysis_table[hex_cq] = "",ISNA(analysis_table[hex_cq])))</f>
        <v>1</v>
      </c>
      <c r="J97" s="11" t="b">
        <f>NOT(ISNA(VLOOKUP(analysis_table[well_no_zero],control_wells,2,FALSE)))</f>
        <v>0</v>
      </c>
      <c r="K97" s="11" t="str">
        <f>_xlfn.IFNA(VLOOKUP(analysis_table[well_no_zero],control_wells,2,FALSE), "No")</f>
        <v>No</v>
      </c>
      <c r="L97" s="11" t="str">
        <f>IF(analysis_table[fam_cq]&lt;= VLOOKUP("FAM", fluorophore_thresholds, 2,FALSE), "p", "n") &amp; IF(analysis_table[cy5_cq]&lt;= VLOOKUP("Cy5", fluorophore_thresholds, 2,FALSE), "p", "n") &amp; IF(analysis_table[hex_cq]&lt;= VLOOKUP("HEX", fluorophore_thresholds, 2,FALSE), "p", "n")</f>
        <v>nnn</v>
      </c>
      <c r="M97" s="11" t="str">
        <f ca="1">IF(analysis_table[is_well_empy], "", IF(analysis_table[is_control], IF(VLOOKUP(analysis_table[control_type], control_well_results, 2, FALSE) = analysis_table[cq_tests], "OK", "NO"), VLOOKUP(analysis_table[cq_tests],test_auto_results,2,FALSE)))</f>
        <v/>
      </c>
      <c r="N97" s="38" t="str">
        <f ca="1">IF(analysis_table[is_well_empy], "", VLOOKUP(analysis_table[test_result_auto],result_symbols_auto,2,FALSE))</f>
        <v/>
      </c>
      <c r="O97" s="96"/>
      <c r="P97" s="38" t="b">
        <f>analysis_table[user_result]&lt;&gt; ""</f>
        <v>0</v>
      </c>
      <c r="Q97" s="38" t="str">
        <f>IF(analysis_table[test_status], IF(analysis_table[user_result]="CORRETTO", analysis_table[test_symbol_auto], VLOOKUP(analysis_table[user_result],result_symbols,2,FALSE)), "")</f>
        <v/>
      </c>
      <c r="R97" s="38" t="str">
        <f t="array" aca="1" ref="R97" ca="1">_xlfn.IFNA(IF(OR(AND(analysis_table[[#This Row],[is_control]]=TRUE,  analysis_table[[#This Row],[test_result_auto]] &lt;&gt; ""), analysis_table[[#This Row],[user_result]] &lt;&gt; ""), VLOOKUP(analysis_table[[#This Row],[test_result_auto]] &amp; "-" &amp; analysis_table[[#This Row],[user_result]], CHOOSE({1,2}, INDEX(auto_user_to_final_map,,1) &amp; "-" &amp; INDEX(auto_user_to_final_map,,2), INDEX(auto_user_to_final_map,,3)), 2, FALSE), ""), "ERRORE")</f>
        <v/>
      </c>
      <c r="S97" s="38" t="b">
        <f ca="1">IF(OR(analysis_table[is_well_empy]=TRUE, analysis_table[final_result]=""), FALSE, VLOOKUP(analysis_table[final_result],is_result_to_send,2,FALSE))</f>
        <v>0</v>
      </c>
      <c r="T97" s="38" t="str">
        <f ca="1">IF(analysis_table[to_send], IF(VLOOKUP(analysis_table[user_result],user_to_exam_result_prefix,2,FALSE) &lt;&gt; "", VLOOKUP(analysis_table[user_result],user_to_exam_result_prefix,2,FALSE) &amp; MID(analysis_table[cq_tests],3,1), analysis_table[cq_tests]), "")</f>
        <v/>
      </c>
      <c r="U97" s="38" t="str">
        <f t="array" aca="1" ref="U97" ca="1">IF(AND(analysis_table[[#This Row],[is_well_empy]]=FALSE, analysis_table[[#This Row],[is_control]]=TRUE), VLOOKUP(analysis_table[[#This Row],[test_result_auto]] &amp; "-" &amp; analysis_table[[#This Row],[user_result]], CHOOSE({1,2}, INDEX(auto_user_to_final_control,,1) &amp; "-" &amp; INDEX(auto_user_to_final_control,,2), INDEX(auto_user_to_final_control,,3)), 2, FALSE), "")</f>
        <v/>
      </c>
      <c r="V97" s="38" t="s">
        <v>389</v>
      </c>
      <c r="W97" s="38">
        <v>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BH40"/>
  <sheetViews>
    <sheetView workbookViewId="0">
      <selection activeCell="J4" sqref="J4"/>
    </sheetView>
  </sheetViews>
  <sheetFormatPr defaultRowHeight="10.5" x14ac:dyDescent="0.15"/>
  <cols>
    <col min="1" max="1" width="18" style="11" bestFit="1" customWidth="1"/>
    <col min="2" max="2" width="16.33203125" style="11" bestFit="1" customWidth="1"/>
    <col min="3" max="4" width="2.83203125" style="11" customWidth="1"/>
    <col min="5" max="5" width="15.6640625" style="11" bestFit="1" customWidth="1"/>
    <col min="6" max="6" width="18" style="11" bestFit="1" customWidth="1"/>
    <col min="7" max="8" width="2.83203125" style="11" customWidth="1"/>
    <col min="9" max="9" width="18.5" style="11" bestFit="1" customWidth="1"/>
    <col min="10" max="10" width="16.5" style="11" bestFit="1" customWidth="1"/>
    <col min="11" max="12" width="2.83203125" style="11" customWidth="1"/>
    <col min="13" max="13" width="17.1640625" style="11" bestFit="1" customWidth="1"/>
    <col min="14" max="14" width="13.6640625" style="11" bestFit="1" customWidth="1"/>
    <col min="15" max="16" width="2.83203125" style="11" customWidth="1"/>
    <col min="17" max="17" width="16.6640625" style="11" bestFit="1" customWidth="1"/>
    <col min="18" max="18" width="11.1640625" style="11" bestFit="1" customWidth="1"/>
    <col min="19" max="20" width="2.83203125" style="11" customWidth="1"/>
    <col min="21" max="21" width="22.6640625" style="11" bestFit="1" customWidth="1"/>
    <col min="22" max="22" width="11.1640625" style="11" bestFit="1" customWidth="1"/>
    <col min="23" max="24" width="2.83203125" style="11" customWidth="1"/>
    <col min="25" max="25" width="14.1640625" style="11" bestFit="1" customWidth="1"/>
    <col min="26" max="26" width="34.83203125" style="11" bestFit="1" customWidth="1"/>
    <col min="27" max="28" width="2.83203125" style="11" customWidth="1"/>
    <col min="29" max="29" width="16.5" style="11" bestFit="1" customWidth="1"/>
    <col min="30" max="30" width="22.6640625" style="11" bestFit="1" customWidth="1"/>
    <col min="31" max="32" width="2.83203125" style="11" customWidth="1"/>
    <col min="33" max="33" width="16.5" style="11" bestFit="1" customWidth="1"/>
    <col min="34" max="34" width="22.6640625" style="11" bestFit="1" customWidth="1"/>
    <col min="35" max="35" width="16.6640625" style="11" bestFit="1" customWidth="1"/>
    <col min="36" max="37" width="2.83203125" style="11" customWidth="1"/>
    <col min="38" max="38" width="22.6640625" style="11" bestFit="1" customWidth="1"/>
    <col min="39" max="39" width="25.83203125" style="11" bestFit="1" customWidth="1"/>
    <col min="40" max="41" width="2.83203125" style="11" customWidth="1"/>
    <col min="42" max="42" width="16.6640625" style="11" bestFit="1" customWidth="1"/>
    <col min="43" max="43" width="12.1640625" style="11" bestFit="1" customWidth="1"/>
    <col min="44" max="45" width="2.83203125" style="11" customWidth="1"/>
    <col min="46" max="46" width="17.33203125" style="11" bestFit="1" customWidth="1"/>
    <col min="47" max="47" width="25" style="11" bestFit="1" customWidth="1"/>
    <col min="48" max="49" width="2.83203125" style="11" customWidth="1"/>
    <col min="50" max="50" width="16.6640625" style="11" bestFit="1" customWidth="1"/>
    <col min="51" max="51" width="20.33203125" style="11" bestFit="1" customWidth="1"/>
    <col min="52" max="53" width="2.83203125" style="11" customWidth="1"/>
    <col min="54" max="54" width="19.33203125" style="11" bestFit="1" customWidth="1"/>
    <col min="55" max="55" width="9.33203125" style="11" bestFit="1" customWidth="1"/>
    <col min="56" max="57" width="2.83203125" style="11" customWidth="1"/>
    <col min="58" max="58" width="17.1640625" style="11" bestFit="1" customWidth="1"/>
    <col min="59" max="59" width="16.33203125" style="11" bestFit="1" customWidth="1"/>
    <col min="60" max="60" width="19.83203125" style="11" bestFit="1" customWidth="1"/>
    <col min="61" max="62" width="3" style="11" customWidth="1"/>
    <col min="63" max="16384" width="9.33203125" style="11"/>
  </cols>
  <sheetData>
    <row r="1" spans="1:60" ht="15.75" x14ac:dyDescent="0.15">
      <c r="A1" s="36" t="s">
        <v>286</v>
      </c>
      <c r="B1" s="36" t="s">
        <v>287</v>
      </c>
      <c r="E1" s="36" t="s">
        <v>284</v>
      </c>
      <c r="F1" s="36" t="s">
        <v>285</v>
      </c>
      <c r="I1" s="36" t="s">
        <v>279</v>
      </c>
      <c r="J1" s="36" t="s">
        <v>280</v>
      </c>
      <c r="M1" s="36" t="s">
        <v>282</v>
      </c>
      <c r="N1" s="36" t="s">
        <v>283</v>
      </c>
      <c r="Q1" s="36" t="s">
        <v>318</v>
      </c>
      <c r="R1" s="36" t="s">
        <v>307</v>
      </c>
      <c r="U1" s="36" t="s">
        <v>319</v>
      </c>
      <c r="V1" s="36" t="s">
        <v>307</v>
      </c>
      <c r="Y1" s="36" t="s">
        <v>185</v>
      </c>
      <c r="Z1" s="36" t="s">
        <v>180</v>
      </c>
      <c r="AC1" s="36" t="s">
        <v>313</v>
      </c>
      <c r="AD1" s="36" t="s">
        <v>314</v>
      </c>
      <c r="AG1" s="36" t="s">
        <v>313</v>
      </c>
      <c r="AH1" s="36" t="s">
        <v>314</v>
      </c>
      <c r="AI1" s="36" t="s">
        <v>331</v>
      </c>
      <c r="AL1" s="36" t="s">
        <v>314</v>
      </c>
      <c r="AM1" s="36" t="s">
        <v>368</v>
      </c>
      <c r="AP1" s="36" t="s">
        <v>331</v>
      </c>
      <c r="AQ1" s="36" t="s">
        <v>333</v>
      </c>
      <c r="AR1" s="13"/>
      <c r="AT1" s="36" t="s">
        <v>339</v>
      </c>
      <c r="AU1" s="36" t="s">
        <v>340</v>
      </c>
      <c r="AX1" s="36" t="s">
        <v>331</v>
      </c>
      <c r="AY1" s="36" t="s">
        <v>341</v>
      </c>
      <c r="BB1" s="36" t="s">
        <v>270</v>
      </c>
      <c r="BC1" s="36" t="s">
        <v>377</v>
      </c>
      <c r="BF1" s="36" t="s">
        <v>379</v>
      </c>
      <c r="BG1" s="36" t="s">
        <v>314</v>
      </c>
      <c r="BH1" s="36" t="s">
        <v>380</v>
      </c>
    </row>
    <row r="2" spans="1:60" x14ac:dyDescent="0.15">
      <c r="A2" s="27" t="s">
        <v>85</v>
      </c>
      <c r="B2" s="11">
        <v>41</v>
      </c>
      <c r="E2" s="27" t="s">
        <v>190</v>
      </c>
      <c r="F2" s="27" t="s">
        <v>83</v>
      </c>
      <c r="I2" s="11" t="s">
        <v>89</v>
      </c>
      <c r="J2" s="11" t="s">
        <v>289</v>
      </c>
      <c r="M2" s="27" t="s">
        <v>83</v>
      </c>
      <c r="N2" s="27" t="s">
        <v>96</v>
      </c>
      <c r="Q2" s="11" t="s">
        <v>289</v>
      </c>
      <c r="R2" s="27" t="s">
        <v>77</v>
      </c>
      <c r="U2" s="27" t="s">
        <v>181</v>
      </c>
      <c r="V2" s="27" t="s">
        <v>124</v>
      </c>
      <c r="Y2" s="11">
        <v>1</v>
      </c>
      <c r="AC2" s="11" t="s">
        <v>289</v>
      </c>
      <c r="AD2" s="27" t="s">
        <v>181</v>
      </c>
      <c r="AG2" s="27" t="s">
        <v>289</v>
      </c>
      <c r="AH2" s="27" t="s">
        <v>181</v>
      </c>
      <c r="AI2" s="27" t="s">
        <v>289</v>
      </c>
      <c r="AL2" s="27" t="s">
        <v>181</v>
      </c>
      <c r="AP2" s="27" t="s">
        <v>289</v>
      </c>
      <c r="AQ2" s="11" t="b">
        <f>TRUE</f>
        <v>1</v>
      </c>
      <c r="AT2" s="11" t="s">
        <v>89</v>
      </c>
      <c r="AU2" s="11" t="s">
        <v>335</v>
      </c>
      <c r="AX2" s="27" t="s">
        <v>289</v>
      </c>
      <c r="AY2" s="39" t="s">
        <v>289</v>
      </c>
      <c r="BB2" s="38">
        <v>1</v>
      </c>
      <c r="BC2" s="27" t="s">
        <v>122</v>
      </c>
      <c r="BF2" s="27" t="s">
        <v>277</v>
      </c>
      <c r="BH2" s="27" t="s">
        <v>277</v>
      </c>
    </row>
    <row r="3" spans="1:60" x14ac:dyDescent="0.15">
      <c r="A3" s="27" t="s">
        <v>3</v>
      </c>
      <c r="B3" s="11">
        <v>41</v>
      </c>
      <c r="E3" s="27" t="s">
        <v>108</v>
      </c>
      <c r="F3" s="27" t="s">
        <v>106</v>
      </c>
      <c r="I3" s="11" t="s">
        <v>90</v>
      </c>
      <c r="J3" s="11" t="s">
        <v>289</v>
      </c>
      <c r="M3" s="27" t="s">
        <v>106</v>
      </c>
      <c r="N3" s="27" t="s">
        <v>90</v>
      </c>
      <c r="Q3" s="11" t="s">
        <v>290</v>
      </c>
      <c r="R3" s="27" t="s">
        <v>79</v>
      </c>
      <c r="U3" s="11" t="s">
        <v>182</v>
      </c>
      <c r="V3" s="27" t="s">
        <v>126</v>
      </c>
      <c r="Y3" s="11">
        <v>2</v>
      </c>
      <c r="Z3" s="27" t="s">
        <v>181</v>
      </c>
      <c r="AC3" s="11" t="s">
        <v>289</v>
      </c>
      <c r="AD3" s="11" t="s">
        <v>182</v>
      </c>
      <c r="AG3" s="27" t="s">
        <v>289</v>
      </c>
      <c r="AH3" s="11" t="s">
        <v>182</v>
      </c>
      <c r="AI3" s="27" t="s">
        <v>332</v>
      </c>
      <c r="AL3" s="27" t="s">
        <v>315</v>
      </c>
      <c r="AP3" s="27" t="s">
        <v>290</v>
      </c>
      <c r="AQ3" s="11" t="b">
        <f>TRUE</f>
        <v>1</v>
      </c>
      <c r="AT3" s="11" t="s">
        <v>90</v>
      </c>
      <c r="AU3" s="11" t="s">
        <v>335</v>
      </c>
      <c r="AX3" s="27" t="s">
        <v>290</v>
      </c>
      <c r="AY3" s="39" t="s">
        <v>342</v>
      </c>
      <c r="BB3" s="38">
        <v>2</v>
      </c>
      <c r="BC3" s="27" t="s">
        <v>122</v>
      </c>
      <c r="BF3" s="27" t="s">
        <v>308</v>
      </c>
      <c r="BH3" s="27" t="s">
        <v>308</v>
      </c>
    </row>
    <row r="4" spans="1:60" x14ac:dyDescent="0.15">
      <c r="A4" s="27" t="s">
        <v>4</v>
      </c>
      <c r="B4" s="11">
        <v>32</v>
      </c>
      <c r="E4" s="27" t="s">
        <v>153</v>
      </c>
      <c r="F4" s="27" t="s">
        <v>83</v>
      </c>
      <c r="I4" s="11" t="s">
        <v>91</v>
      </c>
      <c r="J4" s="11" t="s">
        <v>289</v>
      </c>
      <c r="M4" s="27" t="s">
        <v>103</v>
      </c>
      <c r="N4" s="27" t="s">
        <v>94</v>
      </c>
      <c r="Q4" s="11" t="s">
        <v>291</v>
      </c>
      <c r="R4" s="27" t="s">
        <v>296</v>
      </c>
      <c r="U4" s="11" t="s">
        <v>183</v>
      </c>
      <c r="V4" s="27" t="s">
        <v>320</v>
      </c>
      <c r="Y4" s="11">
        <v>3</v>
      </c>
      <c r="Z4" s="27" t="s">
        <v>182</v>
      </c>
      <c r="AC4" s="27" t="s">
        <v>289</v>
      </c>
      <c r="AD4" s="11" t="s">
        <v>183</v>
      </c>
      <c r="AG4" s="27" t="s">
        <v>289</v>
      </c>
      <c r="AH4" s="11" t="s">
        <v>183</v>
      </c>
      <c r="AI4" s="27" t="s">
        <v>332</v>
      </c>
      <c r="AL4" s="11" t="s">
        <v>182</v>
      </c>
      <c r="AP4" s="27" t="s">
        <v>332</v>
      </c>
      <c r="AQ4" s="11" t="b">
        <f>FALSE</f>
        <v>0</v>
      </c>
      <c r="AT4" s="11" t="s">
        <v>91</v>
      </c>
      <c r="AU4" s="11" t="s">
        <v>336</v>
      </c>
      <c r="AX4" s="27" t="s">
        <v>332</v>
      </c>
      <c r="AY4" s="40"/>
      <c r="BB4" s="38">
        <v>3</v>
      </c>
      <c r="BC4" s="27" t="s">
        <v>122</v>
      </c>
      <c r="BF4" s="27" t="s">
        <v>308</v>
      </c>
      <c r="BG4" s="27" t="s">
        <v>378</v>
      </c>
      <c r="BH4" s="27" t="s">
        <v>277</v>
      </c>
    </row>
    <row r="5" spans="1:60" x14ac:dyDescent="0.15">
      <c r="E5" s="27" t="s">
        <v>219</v>
      </c>
      <c r="F5" s="27" t="s">
        <v>103</v>
      </c>
      <c r="I5" s="11" t="s">
        <v>92</v>
      </c>
      <c r="J5" s="11" t="s">
        <v>289</v>
      </c>
      <c r="Q5" s="27" t="s">
        <v>277</v>
      </c>
      <c r="R5" s="27" t="s">
        <v>277</v>
      </c>
      <c r="U5" s="11" t="s">
        <v>184</v>
      </c>
      <c r="V5" s="27" t="s">
        <v>321</v>
      </c>
      <c r="Y5" s="11">
        <v>4</v>
      </c>
      <c r="Z5" s="27" t="s">
        <v>183</v>
      </c>
      <c r="AC5" s="11" t="s">
        <v>289</v>
      </c>
      <c r="AD5" s="11" t="s">
        <v>184</v>
      </c>
      <c r="AG5" s="27" t="s">
        <v>289</v>
      </c>
      <c r="AH5" s="11" t="s">
        <v>184</v>
      </c>
      <c r="AI5" s="27" t="s">
        <v>332</v>
      </c>
      <c r="AL5" s="11" t="s">
        <v>183</v>
      </c>
      <c r="AT5" s="11" t="s">
        <v>92</v>
      </c>
      <c r="AU5" s="11" t="s">
        <v>336</v>
      </c>
      <c r="BB5" s="38">
        <v>4</v>
      </c>
      <c r="BC5" s="27" t="s">
        <v>122</v>
      </c>
      <c r="BG5" s="27"/>
    </row>
    <row r="6" spans="1:60" x14ac:dyDescent="0.15">
      <c r="E6" s="27" t="s">
        <v>223</v>
      </c>
      <c r="F6" s="27" t="s">
        <v>103</v>
      </c>
      <c r="I6" s="11" t="s">
        <v>93</v>
      </c>
      <c r="J6" s="11" t="s">
        <v>290</v>
      </c>
      <c r="Q6" s="27" t="s">
        <v>308</v>
      </c>
      <c r="R6" s="27" t="s">
        <v>308</v>
      </c>
      <c r="U6" s="27" t="s">
        <v>366</v>
      </c>
      <c r="V6" s="41" t="s">
        <v>367</v>
      </c>
      <c r="Y6" s="11">
        <v>5</v>
      </c>
      <c r="Z6" s="27" t="s">
        <v>184</v>
      </c>
      <c r="AC6" s="11" t="s">
        <v>290</v>
      </c>
      <c r="AD6" s="27" t="s">
        <v>181</v>
      </c>
      <c r="AG6" s="27" t="s">
        <v>290</v>
      </c>
      <c r="AH6" s="27" t="s">
        <v>366</v>
      </c>
      <c r="AI6" s="27" t="s">
        <v>289</v>
      </c>
      <c r="AL6" s="11" t="s">
        <v>184</v>
      </c>
      <c r="AT6" s="11" t="s">
        <v>93</v>
      </c>
      <c r="BB6" s="38">
        <v>5</v>
      </c>
      <c r="BC6" s="27" t="s">
        <v>123</v>
      </c>
    </row>
    <row r="7" spans="1:60" x14ac:dyDescent="0.15">
      <c r="I7" s="11" t="s">
        <v>95</v>
      </c>
      <c r="J7" s="11" t="s">
        <v>290</v>
      </c>
      <c r="U7" s="27" t="s">
        <v>365</v>
      </c>
      <c r="V7" s="41" t="s">
        <v>322</v>
      </c>
      <c r="AC7" s="11" t="s">
        <v>290</v>
      </c>
      <c r="AD7" s="11" t="s">
        <v>182</v>
      </c>
      <c r="AG7" s="27" t="s">
        <v>290</v>
      </c>
      <c r="AH7" s="27" t="s">
        <v>365</v>
      </c>
      <c r="AI7" s="27" t="s">
        <v>289</v>
      </c>
      <c r="AL7" s="27" t="s">
        <v>366</v>
      </c>
      <c r="AM7" s="27" t="s">
        <v>369</v>
      </c>
      <c r="AT7" s="11" t="s">
        <v>95</v>
      </c>
      <c r="BB7" s="38">
        <v>6</v>
      </c>
      <c r="BC7" s="27" t="s">
        <v>123</v>
      </c>
    </row>
    <row r="8" spans="1:60" x14ac:dyDescent="0.15">
      <c r="I8" s="11" t="s">
        <v>94</v>
      </c>
      <c r="J8" s="11" t="s">
        <v>290</v>
      </c>
      <c r="U8" s="27" t="s">
        <v>315</v>
      </c>
      <c r="V8" s="41" t="s">
        <v>323</v>
      </c>
      <c r="AC8" s="11" t="s">
        <v>290</v>
      </c>
      <c r="AD8" s="11" t="s">
        <v>183</v>
      </c>
      <c r="AG8" s="27" t="s">
        <v>290</v>
      </c>
      <c r="AH8" s="27" t="s">
        <v>181</v>
      </c>
      <c r="AI8" s="27" t="s">
        <v>290</v>
      </c>
      <c r="AL8" s="27" t="s">
        <v>365</v>
      </c>
      <c r="AM8" s="27" t="s">
        <v>370</v>
      </c>
      <c r="AT8" s="11" t="s">
        <v>94</v>
      </c>
      <c r="BB8" s="38">
        <v>7</v>
      </c>
      <c r="BC8" s="27" t="s">
        <v>123</v>
      </c>
    </row>
    <row r="9" spans="1:60" x14ac:dyDescent="0.15">
      <c r="I9" s="11" t="s">
        <v>96</v>
      </c>
      <c r="J9" s="11" t="s">
        <v>291</v>
      </c>
      <c r="U9" s="27" t="s">
        <v>378</v>
      </c>
      <c r="V9" s="27" t="s">
        <v>277</v>
      </c>
      <c r="AC9" s="11" t="s">
        <v>290</v>
      </c>
      <c r="AD9" s="11" t="s">
        <v>184</v>
      </c>
      <c r="AG9" s="27" t="s">
        <v>290</v>
      </c>
      <c r="AH9" s="11" t="s">
        <v>182</v>
      </c>
      <c r="AI9" s="27" t="s">
        <v>332</v>
      </c>
      <c r="AT9" s="11" t="s">
        <v>96</v>
      </c>
      <c r="BB9" s="38">
        <v>8</v>
      </c>
      <c r="BC9" s="27" t="s">
        <v>123</v>
      </c>
    </row>
    <row r="10" spans="1:60" x14ac:dyDescent="0.15">
      <c r="U10" s="27"/>
      <c r="V10" s="27"/>
      <c r="AC10" s="11" t="s">
        <v>290</v>
      </c>
      <c r="AD10" s="27" t="s">
        <v>366</v>
      </c>
      <c r="AG10" s="27" t="s">
        <v>290</v>
      </c>
      <c r="AH10" s="11" t="s">
        <v>183</v>
      </c>
      <c r="AI10" s="27" t="s">
        <v>332</v>
      </c>
      <c r="AT10" s="11" t="s">
        <v>337</v>
      </c>
      <c r="AU10" s="11" t="s">
        <v>338</v>
      </c>
      <c r="BB10" s="38">
        <v>9</v>
      </c>
      <c r="BC10" s="27" t="s">
        <v>124</v>
      </c>
    </row>
    <row r="11" spans="1:60" x14ac:dyDescent="0.15">
      <c r="AC11" s="11" t="s">
        <v>290</v>
      </c>
      <c r="AD11" s="27" t="s">
        <v>365</v>
      </c>
      <c r="AG11" s="27" t="s">
        <v>290</v>
      </c>
      <c r="AH11" s="11" t="s">
        <v>184</v>
      </c>
      <c r="AI11" s="27" t="s">
        <v>332</v>
      </c>
      <c r="BB11" s="38">
        <v>10</v>
      </c>
      <c r="BC11" s="27" t="s">
        <v>124</v>
      </c>
    </row>
    <row r="12" spans="1:60" x14ac:dyDescent="0.15">
      <c r="AC12" s="11" t="s">
        <v>291</v>
      </c>
      <c r="AD12" s="11" t="s">
        <v>182</v>
      </c>
      <c r="AG12" s="11" t="s">
        <v>291</v>
      </c>
      <c r="AH12" s="27" t="s">
        <v>366</v>
      </c>
      <c r="AI12" s="27" t="s">
        <v>289</v>
      </c>
      <c r="BB12" s="38">
        <v>11</v>
      </c>
      <c r="BC12" s="27" t="s">
        <v>124</v>
      </c>
    </row>
    <row r="13" spans="1:60" x14ac:dyDescent="0.15">
      <c r="AC13" s="11" t="s">
        <v>291</v>
      </c>
      <c r="AD13" s="11" t="s">
        <v>183</v>
      </c>
      <c r="AG13" s="11" t="s">
        <v>291</v>
      </c>
      <c r="AH13" s="27" t="s">
        <v>365</v>
      </c>
      <c r="AI13" s="27" t="s">
        <v>289</v>
      </c>
      <c r="BB13" s="38">
        <v>12</v>
      </c>
      <c r="BC13" s="27" t="s">
        <v>124</v>
      </c>
    </row>
    <row r="14" spans="1:60" x14ac:dyDescent="0.15">
      <c r="AC14" s="11" t="s">
        <v>291</v>
      </c>
      <c r="AD14" s="11" t="s">
        <v>184</v>
      </c>
      <c r="AG14" s="11" t="s">
        <v>291</v>
      </c>
      <c r="AH14" s="27" t="s">
        <v>315</v>
      </c>
      <c r="AI14" s="27" t="s">
        <v>290</v>
      </c>
    </row>
    <row r="15" spans="1:60" x14ac:dyDescent="0.15">
      <c r="AC15" s="11" t="s">
        <v>291</v>
      </c>
      <c r="AD15" s="27" t="s">
        <v>366</v>
      </c>
      <c r="AG15" s="11" t="s">
        <v>291</v>
      </c>
      <c r="AH15" s="11" t="s">
        <v>182</v>
      </c>
      <c r="AI15" s="27" t="s">
        <v>332</v>
      </c>
    </row>
    <row r="16" spans="1:60" x14ac:dyDescent="0.15">
      <c r="AC16" s="11" t="s">
        <v>291</v>
      </c>
      <c r="AD16" s="27" t="s">
        <v>365</v>
      </c>
      <c r="AG16" s="11" t="s">
        <v>291</v>
      </c>
      <c r="AH16" s="11" t="s">
        <v>183</v>
      </c>
      <c r="AI16" s="27" t="s">
        <v>332</v>
      </c>
    </row>
    <row r="17" spans="29:35" x14ac:dyDescent="0.15">
      <c r="AC17" s="11" t="s">
        <v>291</v>
      </c>
      <c r="AD17" s="27" t="s">
        <v>315</v>
      </c>
      <c r="AG17" s="11" t="s">
        <v>291</v>
      </c>
      <c r="AH17" s="11" t="s">
        <v>184</v>
      </c>
      <c r="AI17" s="27" t="s">
        <v>332</v>
      </c>
    </row>
    <row r="18" spans="29:35" x14ac:dyDescent="0.15">
      <c r="AC18" s="27" t="s">
        <v>308</v>
      </c>
      <c r="AD18" s="27" t="s">
        <v>378</v>
      </c>
      <c r="AG18" s="27" t="s">
        <v>277</v>
      </c>
      <c r="AI18" s="27" t="s">
        <v>332</v>
      </c>
    </row>
    <row r="19" spans="29:35" x14ac:dyDescent="0.15">
      <c r="AC19" s="27"/>
      <c r="AD19" s="27"/>
      <c r="AG19" s="27" t="s">
        <v>308</v>
      </c>
      <c r="AI19" s="27" t="s">
        <v>332</v>
      </c>
    </row>
    <row r="20" spans="29:35" x14ac:dyDescent="0.15">
      <c r="AG20" s="27" t="s">
        <v>308</v>
      </c>
      <c r="AH20" s="27" t="s">
        <v>378</v>
      </c>
      <c r="AI20" s="27" t="s">
        <v>332</v>
      </c>
    </row>
    <row r="40" spans="3:3" x14ac:dyDescent="0.15">
      <c r="C40" s="13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theme="5"/>
  </sheetPr>
  <dimension ref="A1:F23"/>
  <sheetViews>
    <sheetView zoomScale="185" zoomScaleNormal="185" workbookViewId="0">
      <selection activeCell="D15" sqref="D15"/>
    </sheetView>
  </sheetViews>
  <sheetFormatPr defaultRowHeight="10.5" x14ac:dyDescent="0.15"/>
  <cols>
    <col min="1" max="1" width="36.83203125" style="11" customWidth="1"/>
    <col min="2" max="2" width="39.6640625" style="11" customWidth="1"/>
    <col min="3" max="4" width="9.33203125" style="11"/>
    <col min="5" max="5" width="32.83203125" style="11" customWidth="1"/>
    <col min="6" max="6" width="36" style="11" customWidth="1"/>
    <col min="7" max="16384" width="9.33203125" style="11"/>
  </cols>
  <sheetData>
    <row r="1" spans="1:6" ht="23.25" x14ac:dyDescent="0.15">
      <c r="A1" s="111" t="s">
        <v>170</v>
      </c>
      <c r="B1" s="111"/>
      <c r="E1" s="115" t="s">
        <v>357</v>
      </c>
      <c r="F1" s="115"/>
    </row>
    <row r="3" spans="1:6" ht="12.75" x14ac:dyDescent="0.15">
      <c r="A3" s="14" t="s">
        <v>348</v>
      </c>
      <c r="B3" s="101" t="str">
        <f ca="1">'Controllo input'!$E$21</f>
        <v>NO</v>
      </c>
      <c r="E3" s="112" t="s">
        <v>358</v>
      </c>
      <c r="F3" s="112"/>
    </row>
    <row r="4" spans="1:6" ht="12.75" x14ac:dyDescent="0.15">
      <c r="A4" s="14" t="s">
        <v>352</v>
      </c>
      <c r="B4" s="101" t="str">
        <f ca="1">IF(elaboration!$B$30=elaboration!$B$31, "OK", "NO")</f>
        <v>NO</v>
      </c>
      <c r="E4" s="14" t="s">
        <v>289</v>
      </c>
      <c r="F4" s="11">
        <f ca="1">COUNTIF(analysis_table[final_result],E4)</f>
        <v>0</v>
      </c>
    </row>
    <row r="5" spans="1:6" ht="12.75" x14ac:dyDescent="0.15">
      <c r="A5" s="14" t="s">
        <v>349</v>
      </c>
      <c r="B5" s="101" t="str">
        <f ca="1">IF(elaboration!$B$34=elaboration!$B$32, "OK", "NO")</f>
        <v>OK</v>
      </c>
      <c r="E5" s="14" t="s">
        <v>290</v>
      </c>
      <c r="F5" s="11">
        <f ca="1">COUNTIF(analysis_table[final_result],E5)</f>
        <v>0</v>
      </c>
    </row>
    <row r="6" spans="1:6" ht="12.75" x14ac:dyDescent="0.15">
      <c r="A6" s="14" t="s">
        <v>383</v>
      </c>
      <c r="B6" s="101" t="str">
        <f ca="1">IF(elaboration!$B$35=0, "OK", "NO")</f>
        <v>OK</v>
      </c>
      <c r="E6" s="14" t="s">
        <v>332</v>
      </c>
      <c r="F6" s="11">
        <f ca="1">COUNTIF(analysis_table[final_result],E6)</f>
        <v>0</v>
      </c>
    </row>
    <row r="8" spans="1:6" ht="12.75" x14ac:dyDescent="0.15">
      <c r="E8" s="112" t="s">
        <v>359</v>
      </c>
      <c r="F8" s="112"/>
    </row>
    <row r="9" spans="1:6" ht="20.25" x14ac:dyDescent="0.15">
      <c r="A9" s="113" t="s">
        <v>350</v>
      </c>
      <c r="B9" s="113"/>
      <c r="E9" s="14" t="s">
        <v>181</v>
      </c>
      <c r="F9" s="11">
        <f>COUNTIF(analysis_table[user_result],E9)</f>
        <v>0</v>
      </c>
    </row>
    <row r="10" spans="1:6" ht="12.75" x14ac:dyDescent="0.15">
      <c r="A10" s="108" t="str">
        <f ca="1">IF(COUNTIF(B3:B6,"=NO")= 0,"OK", "NO")</f>
        <v>NO</v>
      </c>
      <c r="B10" s="108"/>
      <c r="E10" s="43" t="s">
        <v>182</v>
      </c>
      <c r="F10" s="11">
        <f>COUNTIF(analysis_table[user_result],E10)</f>
        <v>0</v>
      </c>
    </row>
    <row r="11" spans="1:6" x14ac:dyDescent="0.15">
      <c r="B11" s="13"/>
      <c r="E11" s="43" t="s">
        <v>183</v>
      </c>
      <c r="F11" s="11">
        <f>COUNTIF(analysis_table[user_result],E11)</f>
        <v>0</v>
      </c>
    </row>
    <row r="12" spans="1:6" x14ac:dyDescent="0.15">
      <c r="E12" s="43" t="s">
        <v>184</v>
      </c>
      <c r="F12" s="11">
        <f>COUNTIF(analysis_table[user_result],E12)</f>
        <v>0</v>
      </c>
    </row>
    <row r="13" spans="1:6" x14ac:dyDescent="0.15">
      <c r="E13" s="14" t="s">
        <v>366</v>
      </c>
      <c r="F13" s="11">
        <f>COUNTIF(analysis_table[user_result],E13)</f>
        <v>0</v>
      </c>
    </row>
    <row r="14" spans="1:6" ht="18.75" x14ac:dyDescent="0.15">
      <c r="A14" s="114" t="s">
        <v>361</v>
      </c>
      <c r="B14" s="114"/>
      <c r="E14" s="14" t="s">
        <v>365</v>
      </c>
      <c r="F14" s="11">
        <f>COUNTIF(analysis_table[user_result],E14)</f>
        <v>0</v>
      </c>
    </row>
    <row r="15" spans="1:6" x14ac:dyDescent="0.15">
      <c r="E15" s="14" t="s">
        <v>315</v>
      </c>
      <c r="F15" s="11">
        <f>COUNTIF(analysis_table[user_result],E15)</f>
        <v>0</v>
      </c>
    </row>
    <row r="16" spans="1:6" x14ac:dyDescent="0.15">
      <c r="A16" s="14" t="s">
        <v>353</v>
      </c>
      <c r="B16" s="11">
        <f ca="1">elaboration!$B$34</f>
        <v>0</v>
      </c>
      <c r="E16" s="14" t="s">
        <v>378</v>
      </c>
      <c r="F16" s="11">
        <f>COUNTIF(analysis_table[user_result],E16)</f>
        <v>0</v>
      </c>
    </row>
    <row r="17" spans="1:6" x14ac:dyDescent="0.15">
      <c r="A17" s="14" t="s">
        <v>354</v>
      </c>
      <c r="B17" s="11">
        <f ca="1">elaboration!$B$33</f>
        <v>0</v>
      </c>
    </row>
    <row r="18" spans="1:6" ht="12.75" x14ac:dyDescent="0.15">
      <c r="A18" s="14" t="s">
        <v>355</v>
      </c>
      <c r="B18" s="11">
        <f ca="1">elaboration!$B$32</f>
        <v>0</v>
      </c>
      <c r="E18" s="112" t="s">
        <v>360</v>
      </c>
      <c r="F18" s="112"/>
    </row>
    <row r="19" spans="1:6" x14ac:dyDescent="0.15">
      <c r="E19" s="43" t="s">
        <v>289</v>
      </c>
      <c r="F19" s="11">
        <f ca="1">COUNTIF(analysis_table[test_result_auto],E19)</f>
        <v>0</v>
      </c>
    </row>
    <row r="20" spans="1:6" x14ac:dyDescent="0.15">
      <c r="E20" s="43" t="s">
        <v>290</v>
      </c>
      <c r="F20" s="11">
        <f ca="1">COUNTIF(analysis_table[test_result_auto],E20)</f>
        <v>0</v>
      </c>
    </row>
    <row r="21" spans="1:6" x14ac:dyDescent="0.15">
      <c r="E21" s="43" t="s">
        <v>291</v>
      </c>
      <c r="F21" s="11">
        <f ca="1">COUNTIF(analysis_table[test_result_auto],E21)</f>
        <v>0</v>
      </c>
    </row>
    <row r="22" spans="1:6" x14ac:dyDescent="0.15">
      <c r="E22" s="43" t="s">
        <v>277</v>
      </c>
      <c r="F22" s="11">
        <f ca="1">COUNTIF(analysis_table[test_result_auto],E22)</f>
        <v>0</v>
      </c>
    </row>
    <row r="23" spans="1:6" x14ac:dyDescent="0.15">
      <c r="E23" s="43" t="s">
        <v>308</v>
      </c>
      <c r="F23" s="11">
        <f ca="1">COUNTIF(analysis_table[test_result_auto],E23)</f>
        <v>0</v>
      </c>
    </row>
  </sheetData>
  <sheetProtection sheet="1" objects="1" scenarios="1"/>
  <mergeCells count="8">
    <mergeCell ref="E8:F8"/>
    <mergeCell ref="E18:F18"/>
    <mergeCell ref="A14:B14"/>
    <mergeCell ref="A1:B1"/>
    <mergeCell ref="A9:B9"/>
    <mergeCell ref="A10:B10"/>
    <mergeCell ref="E1:F1"/>
    <mergeCell ref="E3:F3"/>
  </mergeCells>
  <conditionalFormatting sqref="B5">
    <cfRule type="cellIs" dxfId="16" priority="11" operator="equal">
      <formula>"NO"</formula>
    </cfRule>
    <cfRule type="cellIs" dxfId="15" priority="12" operator="equal">
      <formula>"OK"</formula>
    </cfRule>
  </conditionalFormatting>
  <conditionalFormatting sqref="A10">
    <cfRule type="cellIs" dxfId="14" priority="7" operator="equal">
      <formula>"NO"</formula>
    </cfRule>
    <cfRule type="cellIs" dxfId="13" priority="8" operator="equal">
      <formula>"OK"</formula>
    </cfRule>
  </conditionalFormatting>
  <conditionalFormatting sqref="B3">
    <cfRule type="cellIs" dxfId="12" priority="5" operator="equal">
      <formula>"NO"</formula>
    </cfRule>
    <cfRule type="cellIs" dxfId="11" priority="6" operator="equal">
      <formula>"OK"</formula>
    </cfRule>
  </conditionalFormatting>
  <conditionalFormatting sqref="B4">
    <cfRule type="cellIs" dxfId="10" priority="3" operator="equal">
      <formula>"NO"</formula>
    </cfRule>
    <cfRule type="cellIs" dxfId="9" priority="4" operator="equal">
      <formula>"OK"</formula>
    </cfRule>
  </conditionalFormatting>
  <conditionalFormatting sqref="B6">
    <cfRule type="cellIs" dxfId="8" priority="1" operator="equal">
      <formula>"NO"</formula>
    </cfRule>
    <cfRule type="cellIs" dxfId="7" priority="2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H98"/>
  <sheetViews>
    <sheetView zoomScale="115" zoomScaleNormal="115" workbookViewId="0"/>
  </sheetViews>
  <sheetFormatPr defaultRowHeight="10.5" x14ac:dyDescent="0.15"/>
  <cols>
    <col min="1" max="1" width="9.33203125" style="11"/>
    <col min="2" max="7" width="20.33203125" style="11" customWidth="1"/>
    <col min="8" max="8" width="19" style="11" customWidth="1"/>
    <col min="9" max="16384" width="9.33203125" style="11"/>
  </cols>
  <sheetData>
    <row r="1" spans="1:8" ht="47.25" x14ac:dyDescent="0.15">
      <c r="A1" s="27"/>
      <c r="B1" s="44" t="s">
        <v>111</v>
      </c>
      <c r="C1" s="44" t="s">
        <v>187</v>
      </c>
      <c r="D1" s="45" t="s">
        <v>112</v>
      </c>
      <c r="E1" s="45" t="s">
        <v>113</v>
      </c>
      <c r="F1" s="45" t="s">
        <v>114</v>
      </c>
      <c r="G1" s="46" t="s">
        <v>186</v>
      </c>
      <c r="H1" s="46" t="s">
        <v>188</v>
      </c>
    </row>
    <row r="2" spans="1:8" x14ac:dyDescent="0.15">
      <c r="A2" s="3" t="s">
        <v>2</v>
      </c>
      <c r="B2" s="11" t="str">
        <f t="shared" ref="B2:B33" si="0">IF(VLOOKUP($A2, analysis_table_by_well_with_zero, 14, FALSE)="RIPETERE ESTRAZIONE", VLOOKUP($A2, analysis_table_by_well_with_zero, 3, FALSE), "")</f>
        <v/>
      </c>
      <c r="C2" s="11" t="str">
        <f t="shared" ref="C2:C33" si="1">IF($B2&lt;&gt;"",VLOOKUP($A2, analysis_table_by_well_with_zero, 4, FALSE),"")</f>
        <v/>
      </c>
      <c r="D2" s="47" t="str">
        <f t="shared" ref="D2:D33" si="2">IF($F2&lt;&gt;"","Plate "&amp;VLOOKUP($A2, analysis_table_by_well_with_zero, 2, FALSE),"")</f>
        <v/>
      </c>
      <c r="E2" s="47" t="str">
        <f t="shared" ref="E2:E33" si="3">IF($F2&lt;&gt;"",VLOOKUP($A2, analysis_table_by_well_with_zero, 3, FALSE),"")</f>
        <v/>
      </c>
      <c r="F2" s="47" t="str">
        <f t="shared" ref="F2:F33" si="4">IF(VLOOKUP($A2, analysis_table_by_well_with_zero, 14, FALSE)="RIPETERE PCR", $A2, "")</f>
        <v/>
      </c>
      <c r="G2" s="11" t="str">
        <f t="shared" ref="G2:G33" si="5">IF(VLOOKUP($A2, analysis_table_by_well_with_zero, 14, FALSE)="RIPETERE TAMPONE", VLOOKUP($A2, analysis_table_by_well_with_zero, 3, FALSE), "")</f>
        <v/>
      </c>
      <c r="H2" s="11" t="str">
        <f t="shared" ref="H2:H33" si="6">IF($G2&lt;&gt;"",VLOOKUP($A2, analysis_table_by_well_with_zero, 4, FALSE),"")</f>
        <v/>
      </c>
    </row>
    <row r="3" spans="1:8" x14ac:dyDescent="0.15">
      <c r="A3" s="3" t="s">
        <v>12</v>
      </c>
      <c r="B3" s="11" t="str">
        <f t="shared" si="0"/>
        <v/>
      </c>
      <c r="C3" s="11" t="str">
        <f t="shared" si="1"/>
        <v/>
      </c>
      <c r="D3" s="47" t="str">
        <f t="shared" si="2"/>
        <v/>
      </c>
      <c r="E3" s="47" t="str">
        <f t="shared" si="3"/>
        <v/>
      </c>
      <c r="F3" s="47" t="str">
        <f t="shared" si="4"/>
        <v/>
      </c>
      <c r="G3" s="11" t="str">
        <f t="shared" si="5"/>
        <v/>
      </c>
      <c r="H3" s="11" t="str">
        <f t="shared" si="6"/>
        <v/>
      </c>
    </row>
    <row r="4" spans="1:8" x14ac:dyDescent="0.15">
      <c r="A4" s="3" t="s">
        <v>20</v>
      </c>
      <c r="B4" s="11" t="str">
        <f t="shared" si="0"/>
        <v/>
      </c>
      <c r="C4" s="11" t="str">
        <f t="shared" si="1"/>
        <v/>
      </c>
      <c r="D4" s="47" t="str">
        <f t="shared" si="2"/>
        <v/>
      </c>
      <c r="E4" s="47" t="str">
        <f t="shared" si="3"/>
        <v/>
      </c>
      <c r="F4" s="47" t="str">
        <f t="shared" si="4"/>
        <v/>
      </c>
      <c r="G4" s="11" t="str">
        <f t="shared" si="5"/>
        <v/>
      </c>
      <c r="H4" s="11" t="str">
        <f t="shared" si="6"/>
        <v/>
      </c>
    </row>
    <row r="5" spans="1:8" x14ac:dyDescent="0.15">
      <c r="A5" s="3" t="s">
        <v>28</v>
      </c>
      <c r="B5" s="11" t="str">
        <f t="shared" si="0"/>
        <v/>
      </c>
      <c r="C5" s="11" t="str">
        <f t="shared" si="1"/>
        <v/>
      </c>
      <c r="D5" s="47" t="str">
        <f t="shared" si="2"/>
        <v/>
      </c>
      <c r="E5" s="47" t="str">
        <f t="shared" si="3"/>
        <v/>
      </c>
      <c r="F5" s="47" t="str">
        <f t="shared" si="4"/>
        <v/>
      </c>
      <c r="G5" s="11" t="str">
        <f t="shared" si="5"/>
        <v/>
      </c>
      <c r="H5" s="11" t="str">
        <f t="shared" si="6"/>
        <v/>
      </c>
    </row>
    <row r="6" spans="1:8" x14ac:dyDescent="0.15">
      <c r="A6" s="3" t="s">
        <v>36</v>
      </c>
      <c r="B6" s="11" t="str">
        <f t="shared" si="0"/>
        <v/>
      </c>
      <c r="C6" s="11" t="str">
        <f t="shared" si="1"/>
        <v/>
      </c>
      <c r="D6" s="47" t="str">
        <f t="shared" si="2"/>
        <v/>
      </c>
      <c r="E6" s="47" t="str">
        <f t="shared" si="3"/>
        <v/>
      </c>
      <c r="F6" s="47" t="str">
        <f t="shared" si="4"/>
        <v/>
      </c>
      <c r="G6" s="11" t="str">
        <f t="shared" si="5"/>
        <v/>
      </c>
      <c r="H6" s="11" t="str">
        <f t="shared" si="6"/>
        <v/>
      </c>
    </row>
    <row r="7" spans="1:8" x14ac:dyDescent="0.15">
      <c r="A7" s="3" t="s">
        <v>44</v>
      </c>
      <c r="B7" s="11" t="str">
        <f t="shared" si="0"/>
        <v/>
      </c>
      <c r="C7" s="11" t="str">
        <f t="shared" si="1"/>
        <v/>
      </c>
      <c r="D7" s="47" t="str">
        <f t="shared" si="2"/>
        <v/>
      </c>
      <c r="E7" s="47" t="str">
        <f t="shared" si="3"/>
        <v/>
      </c>
      <c r="F7" s="47" t="str">
        <f t="shared" si="4"/>
        <v/>
      </c>
      <c r="G7" s="11" t="str">
        <f t="shared" si="5"/>
        <v/>
      </c>
      <c r="H7" s="11" t="str">
        <f t="shared" si="6"/>
        <v/>
      </c>
    </row>
    <row r="8" spans="1:8" x14ac:dyDescent="0.15">
      <c r="A8" s="3" t="s">
        <v>52</v>
      </c>
      <c r="B8" s="11" t="str">
        <f t="shared" si="0"/>
        <v/>
      </c>
      <c r="C8" s="11" t="str">
        <f t="shared" si="1"/>
        <v/>
      </c>
      <c r="D8" s="47" t="str">
        <f t="shared" si="2"/>
        <v/>
      </c>
      <c r="E8" s="47" t="str">
        <f t="shared" si="3"/>
        <v/>
      </c>
      <c r="F8" s="47" t="str">
        <f t="shared" si="4"/>
        <v/>
      </c>
      <c r="G8" s="11" t="str">
        <f t="shared" si="5"/>
        <v/>
      </c>
      <c r="H8" s="11" t="str">
        <f t="shared" si="6"/>
        <v/>
      </c>
    </row>
    <row r="9" spans="1:8" x14ac:dyDescent="0.15">
      <c r="A9" s="3" t="s">
        <v>60</v>
      </c>
      <c r="B9" s="11" t="str">
        <f t="shared" si="0"/>
        <v/>
      </c>
      <c r="C9" s="11" t="str">
        <f t="shared" si="1"/>
        <v/>
      </c>
      <c r="D9" s="47" t="str">
        <f t="shared" si="2"/>
        <v/>
      </c>
      <c r="E9" s="47" t="str">
        <f t="shared" si="3"/>
        <v/>
      </c>
      <c r="F9" s="47" t="str">
        <f t="shared" si="4"/>
        <v/>
      </c>
      <c r="G9" s="11" t="str">
        <f t="shared" si="5"/>
        <v/>
      </c>
      <c r="H9" s="11" t="str">
        <f t="shared" si="6"/>
        <v/>
      </c>
    </row>
    <row r="10" spans="1:8" x14ac:dyDescent="0.15">
      <c r="A10" s="3" t="s">
        <v>68</v>
      </c>
      <c r="B10" s="11" t="str">
        <f t="shared" si="0"/>
        <v/>
      </c>
      <c r="C10" s="11" t="str">
        <f t="shared" si="1"/>
        <v/>
      </c>
      <c r="D10" s="47" t="str">
        <f t="shared" si="2"/>
        <v/>
      </c>
      <c r="E10" s="47" t="str">
        <f t="shared" si="3"/>
        <v/>
      </c>
      <c r="F10" s="47" t="str">
        <f t="shared" si="4"/>
        <v/>
      </c>
      <c r="G10" s="11" t="str">
        <f t="shared" si="5"/>
        <v/>
      </c>
      <c r="H10" s="11" t="str">
        <f t="shared" si="6"/>
        <v/>
      </c>
    </row>
    <row r="11" spans="1:8" x14ac:dyDescent="0.15">
      <c r="A11" s="3" t="s">
        <v>137</v>
      </c>
      <c r="B11" s="11" t="str">
        <f t="shared" si="0"/>
        <v/>
      </c>
      <c r="C11" s="11" t="str">
        <f t="shared" si="1"/>
        <v/>
      </c>
      <c r="D11" s="47" t="str">
        <f t="shared" si="2"/>
        <v/>
      </c>
      <c r="E11" s="47" t="str">
        <f t="shared" si="3"/>
        <v/>
      </c>
      <c r="F11" s="47" t="str">
        <f t="shared" si="4"/>
        <v/>
      </c>
      <c r="G11" s="11" t="str">
        <f t="shared" si="5"/>
        <v/>
      </c>
      <c r="H11" s="11" t="str">
        <f t="shared" si="6"/>
        <v/>
      </c>
    </row>
    <row r="12" spans="1:8" x14ac:dyDescent="0.15">
      <c r="A12" s="3" t="s">
        <v>145</v>
      </c>
      <c r="B12" s="11" t="str">
        <f t="shared" si="0"/>
        <v/>
      </c>
      <c r="C12" s="11" t="str">
        <f t="shared" si="1"/>
        <v/>
      </c>
      <c r="D12" s="47" t="str">
        <f t="shared" si="2"/>
        <v/>
      </c>
      <c r="E12" s="47" t="str">
        <f t="shared" si="3"/>
        <v/>
      </c>
      <c r="F12" s="47" t="str">
        <f t="shared" si="4"/>
        <v/>
      </c>
      <c r="G12" s="11" t="str">
        <f t="shared" si="5"/>
        <v/>
      </c>
      <c r="H12" s="11" t="str">
        <f t="shared" si="6"/>
        <v/>
      </c>
    </row>
    <row r="13" spans="1:8" x14ac:dyDescent="0.15">
      <c r="A13" s="3" t="s">
        <v>153</v>
      </c>
      <c r="B13" s="11" t="str">
        <f t="shared" si="0"/>
        <v/>
      </c>
      <c r="C13" s="11" t="str">
        <f t="shared" si="1"/>
        <v/>
      </c>
      <c r="D13" s="47" t="str">
        <f t="shared" si="2"/>
        <v/>
      </c>
      <c r="E13" s="47" t="str">
        <f t="shared" si="3"/>
        <v/>
      </c>
      <c r="F13" s="47" t="str">
        <f t="shared" si="4"/>
        <v/>
      </c>
      <c r="G13" s="11" t="str">
        <f t="shared" si="5"/>
        <v/>
      </c>
      <c r="H13" s="11" t="str">
        <f t="shared" si="6"/>
        <v/>
      </c>
    </row>
    <row r="14" spans="1:8" x14ac:dyDescent="0.15">
      <c r="A14" s="3" t="s">
        <v>5</v>
      </c>
      <c r="B14" s="11" t="str">
        <f t="shared" si="0"/>
        <v/>
      </c>
      <c r="C14" s="11" t="str">
        <f t="shared" si="1"/>
        <v/>
      </c>
      <c r="D14" s="47" t="str">
        <f t="shared" si="2"/>
        <v/>
      </c>
      <c r="E14" s="47" t="str">
        <f t="shared" si="3"/>
        <v/>
      </c>
      <c r="F14" s="47" t="str">
        <f t="shared" si="4"/>
        <v/>
      </c>
      <c r="G14" s="11" t="str">
        <f t="shared" si="5"/>
        <v/>
      </c>
      <c r="H14" s="11" t="str">
        <f t="shared" si="6"/>
        <v/>
      </c>
    </row>
    <row r="15" spans="1:8" x14ac:dyDescent="0.15">
      <c r="A15" s="3" t="s">
        <v>13</v>
      </c>
      <c r="B15" s="11" t="str">
        <f t="shared" si="0"/>
        <v/>
      </c>
      <c r="C15" s="11" t="str">
        <f t="shared" si="1"/>
        <v/>
      </c>
      <c r="D15" s="47" t="str">
        <f t="shared" si="2"/>
        <v/>
      </c>
      <c r="E15" s="47" t="str">
        <f t="shared" si="3"/>
        <v/>
      </c>
      <c r="F15" s="47" t="str">
        <f t="shared" si="4"/>
        <v/>
      </c>
      <c r="G15" s="11" t="str">
        <f t="shared" si="5"/>
        <v/>
      </c>
      <c r="H15" s="11" t="str">
        <f t="shared" si="6"/>
        <v/>
      </c>
    </row>
    <row r="16" spans="1:8" x14ac:dyDescent="0.15">
      <c r="A16" s="3" t="s">
        <v>21</v>
      </c>
      <c r="B16" s="11" t="str">
        <f t="shared" si="0"/>
        <v/>
      </c>
      <c r="C16" s="11" t="str">
        <f t="shared" si="1"/>
        <v/>
      </c>
      <c r="D16" s="47" t="str">
        <f t="shared" si="2"/>
        <v/>
      </c>
      <c r="E16" s="47" t="str">
        <f t="shared" si="3"/>
        <v/>
      </c>
      <c r="F16" s="47" t="str">
        <f t="shared" si="4"/>
        <v/>
      </c>
      <c r="G16" s="11" t="str">
        <f t="shared" si="5"/>
        <v/>
      </c>
      <c r="H16" s="11" t="str">
        <f t="shared" si="6"/>
        <v/>
      </c>
    </row>
    <row r="17" spans="1:8" x14ac:dyDescent="0.15">
      <c r="A17" s="3" t="s">
        <v>29</v>
      </c>
      <c r="B17" s="11" t="str">
        <f t="shared" si="0"/>
        <v/>
      </c>
      <c r="C17" s="11" t="str">
        <f t="shared" si="1"/>
        <v/>
      </c>
      <c r="D17" s="47" t="str">
        <f t="shared" si="2"/>
        <v/>
      </c>
      <c r="E17" s="47" t="str">
        <f t="shared" si="3"/>
        <v/>
      </c>
      <c r="F17" s="47" t="str">
        <f t="shared" si="4"/>
        <v/>
      </c>
      <c r="G17" s="11" t="str">
        <f t="shared" si="5"/>
        <v/>
      </c>
      <c r="H17" s="11" t="str">
        <f t="shared" si="6"/>
        <v/>
      </c>
    </row>
    <row r="18" spans="1:8" x14ac:dyDescent="0.15">
      <c r="A18" s="3" t="s">
        <v>37</v>
      </c>
      <c r="B18" s="11" t="str">
        <f t="shared" si="0"/>
        <v/>
      </c>
      <c r="C18" s="11" t="str">
        <f t="shared" si="1"/>
        <v/>
      </c>
      <c r="D18" s="47" t="str">
        <f t="shared" si="2"/>
        <v/>
      </c>
      <c r="E18" s="47" t="str">
        <f t="shared" si="3"/>
        <v/>
      </c>
      <c r="F18" s="47" t="str">
        <f t="shared" si="4"/>
        <v/>
      </c>
      <c r="G18" s="11" t="str">
        <f t="shared" si="5"/>
        <v/>
      </c>
      <c r="H18" s="11" t="str">
        <f t="shared" si="6"/>
        <v/>
      </c>
    </row>
    <row r="19" spans="1:8" x14ac:dyDescent="0.15">
      <c r="A19" s="3" t="s">
        <v>45</v>
      </c>
      <c r="B19" s="11" t="str">
        <f t="shared" si="0"/>
        <v/>
      </c>
      <c r="C19" s="11" t="str">
        <f t="shared" si="1"/>
        <v/>
      </c>
      <c r="D19" s="47" t="str">
        <f t="shared" si="2"/>
        <v/>
      </c>
      <c r="E19" s="47" t="str">
        <f t="shared" si="3"/>
        <v/>
      </c>
      <c r="F19" s="47" t="str">
        <f t="shared" si="4"/>
        <v/>
      </c>
      <c r="G19" s="11" t="str">
        <f t="shared" si="5"/>
        <v/>
      </c>
      <c r="H19" s="11" t="str">
        <f t="shared" si="6"/>
        <v/>
      </c>
    </row>
    <row r="20" spans="1:8" x14ac:dyDescent="0.15">
      <c r="A20" s="3" t="s">
        <v>53</v>
      </c>
      <c r="B20" s="11" t="str">
        <f t="shared" si="0"/>
        <v/>
      </c>
      <c r="C20" s="11" t="str">
        <f t="shared" si="1"/>
        <v/>
      </c>
      <c r="D20" s="47" t="str">
        <f t="shared" si="2"/>
        <v/>
      </c>
      <c r="E20" s="47" t="str">
        <f t="shared" si="3"/>
        <v/>
      </c>
      <c r="F20" s="47" t="str">
        <f t="shared" si="4"/>
        <v/>
      </c>
      <c r="G20" s="11" t="str">
        <f t="shared" si="5"/>
        <v/>
      </c>
      <c r="H20" s="11" t="str">
        <f t="shared" si="6"/>
        <v/>
      </c>
    </row>
    <row r="21" spans="1:8" x14ac:dyDescent="0.15">
      <c r="A21" s="3" t="s">
        <v>61</v>
      </c>
      <c r="B21" s="11" t="str">
        <f t="shared" si="0"/>
        <v/>
      </c>
      <c r="C21" s="11" t="str">
        <f t="shared" si="1"/>
        <v/>
      </c>
      <c r="D21" s="47" t="str">
        <f t="shared" si="2"/>
        <v/>
      </c>
      <c r="E21" s="47" t="str">
        <f t="shared" si="3"/>
        <v/>
      </c>
      <c r="F21" s="47" t="str">
        <f t="shared" si="4"/>
        <v/>
      </c>
      <c r="G21" s="11" t="str">
        <f t="shared" si="5"/>
        <v/>
      </c>
      <c r="H21" s="11" t="str">
        <f t="shared" si="6"/>
        <v/>
      </c>
    </row>
    <row r="22" spans="1:8" x14ac:dyDescent="0.15">
      <c r="A22" s="3" t="s">
        <v>69</v>
      </c>
      <c r="B22" s="11" t="str">
        <f t="shared" si="0"/>
        <v/>
      </c>
      <c r="C22" s="11" t="str">
        <f t="shared" si="1"/>
        <v/>
      </c>
      <c r="D22" s="47" t="str">
        <f t="shared" si="2"/>
        <v/>
      </c>
      <c r="E22" s="47" t="str">
        <f t="shared" si="3"/>
        <v/>
      </c>
      <c r="F22" s="47" t="str">
        <f t="shared" si="4"/>
        <v/>
      </c>
      <c r="G22" s="11" t="str">
        <f t="shared" si="5"/>
        <v/>
      </c>
      <c r="H22" s="11" t="str">
        <f t="shared" si="6"/>
        <v/>
      </c>
    </row>
    <row r="23" spans="1:8" x14ac:dyDescent="0.15">
      <c r="A23" s="3" t="s">
        <v>138</v>
      </c>
      <c r="B23" s="11" t="str">
        <f t="shared" si="0"/>
        <v/>
      </c>
      <c r="C23" s="11" t="str">
        <f t="shared" si="1"/>
        <v/>
      </c>
      <c r="D23" s="47" t="str">
        <f t="shared" si="2"/>
        <v/>
      </c>
      <c r="E23" s="47" t="str">
        <f t="shared" si="3"/>
        <v/>
      </c>
      <c r="F23" s="47" t="str">
        <f t="shared" si="4"/>
        <v/>
      </c>
      <c r="G23" s="11" t="str">
        <f t="shared" si="5"/>
        <v/>
      </c>
      <c r="H23" s="11" t="str">
        <f t="shared" si="6"/>
        <v/>
      </c>
    </row>
    <row r="24" spans="1:8" x14ac:dyDescent="0.15">
      <c r="A24" s="3" t="s">
        <v>146</v>
      </c>
      <c r="B24" s="11" t="str">
        <f t="shared" si="0"/>
        <v/>
      </c>
      <c r="C24" s="11" t="str">
        <f t="shared" si="1"/>
        <v/>
      </c>
      <c r="D24" s="47" t="str">
        <f t="shared" si="2"/>
        <v/>
      </c>
      <c r="E24" s="47" t="str">
        <f t="shared" si="3"/>
        <v/>
      </c>
      <c r="F24" s="47" t="str">
        <f t="shared" si="4"/>
        <v/>
      </c>
      <c r="G24" s="11" t="str">
        <f t="shared" si="5"/>
        <v/>
      </c>
      <c r="H24" s="11" t="str">
        <f t="shared" si="6"/>
        <v/>
      </c>
    </row>
    <row r="25" spans="1:8" x14ac:dyDescent="0.15">
      <c r="A25" s="3" t="s">
        <v>154</v>
      </c>
      <c r="B25" s="11" t="str">
        <f t="shared" si="0"/>
        <v/>
      </c>
      <c r="C25" s="11" t="str">
        <f t="shared" si="1"/>
        <v/>
      </c>
      <c r="D25" s="47" t="str">
        <f t="shared" si="2"/>
        <v/>
      </c>
      <c r="E25" s="47" t="str">
        <f t="shared" si="3"/>
        <v/>
      </c>
      <c r="F25" s="47" t="str">
        <f t="shared" si="4"/>
        <v/>
      </c>
      <c r="G25" s="11" t="str">
        <f t="shared" si="5"/>
        <v/>
      </c>
      <c r="H25" s="11" t="str">
        <f t="shared" si="6"/>
        <v/>
      </c>
    </row>
    <row r="26" spans="1:8" x14ac:dyDescent="0.15">
      <c r="A26" s="3" t="s">
        <v>6</v>
      </c>
      <c r="B26" s="11" t="str">
        <f t="shared" si="0"/>
        <v/>
      </c>
      <c r="C26" s="11" t="str">
        <f t="shared" si="1"/>
        <v/>
      </c>
      <c r="D26" s="47" t="str">
        <f t="shared" si="2"/>
        <v/>
      </c>
      <c r="E26" s="47" t="str">
        <f t="shared" si="3"/>
        <v/>
      </c>
      <c r="F26" s="47" t="str">
        <f t="shared" si="4"/>
        <v/>
      </c>
      <c r="G26" s="11" t="str">
        <f t="shared" si="5"/>
        <v/>
      </c>
      <c r="H26" s="11" t="str">
        <f t="shared" si="6"/>
        <v/>
      </c>
    </row>
    <row r="27" spans="1:8" x14ac:dyDescent="0.15">
      <c r="A27" s="3" t="s">
        <v>14</v>
      </c>
      <c r="B27" s="11" t="str">
        <f t="shared" si="0"/>
        <v/>
      </c>
      <c r="C27" s="11" t="str">
        <f t="shared" si="1"/>
        <v/>
      </c>
      <c r="D27" s="47" t="str">
        <f t="shared" si="2"/>
        <v/>
      </c>
      <c r="E27" s="47" t="str">
        <f t="shared" si="3"/>
        <v/>
      </c>
      <c r="F27" s="47" t="str">
        <f t="shared" si="4"/>
        <v/>
      </c>
      <c r="G27" s="11" t="str">
        <f t="shared" si="5"/>
        <v/>
      </c>
      <c r="H27" s="11" t="str">
        <f t="shared" si="6"/>
        <v/>
      </c>
    </row>
    <row r="28" spans="1:8" x14ac:dyDescent="0.15">
      <c r="A28" s="3" t="s">
        <v>22</v>
      </c>
      <c r="B28" s="11" t="str">
        <f t="shared" si="0"/>
        <v/>
      </c>
      <c r="C28" s="11" t="str">
        <f t="shared" si="1"/>
        <v/>
      </c>
      <c r="D28" s="47" t="str">
        <f t="shared" si="2"/>
        <v/>
      </c>
      <c r="E28" s="47" t="str">
        <f t="shared" si="3"/>
        <v/>
      </c>
      <c r="F28" s="47" t="str">
        <f t="shared" si="4"/>
        <v/>
      </c>
      <c r="G28" s="11" t="str">
        <f t="shared" si="5"/>
        <v/>
      </c>
      <c r="H28" s="11" t="str">
        <f t="shared" si="6"/>
        <v/>
      </c>
    </row>
    <row r="29" spans="1:8" x14ac:dyDescent="0.15">
      <c r="A29" s="3" t="s">
        <v>30</v>
      </c>
      <c r="B29" s="11" t="str">
        <f t="shared" si="0"/>
        <v/>
      </c>
      <c r="C29" s="11" t="str">
        <f t="shared" si="1"/>
        <v/>
      </c>
      <c r="D29" s="47" t="str">
        <f t="shared" si="2"/>
        <v/>
      </c>
      <c r="E29" s="47" t="str">
        <f t="shared" si="3"/>
        <v/>
      </c>
      <c r="F29" s="47" t="str">
        <f t="shared" si="4"/>
        <v/>
      </c>
      <c r="G29" s="11" t="str">
        <f t="shared" si="5"/>
        <v/>
      </c>
      <c r="H29" s="11" t="str">
        <f t="shared" si="6"/>
        <v/>
      </c>
    </row>
    <row r="30" spans="1:8" x14ac:dyDescent="0.15">
      <c r="A30" s="3" t="s">
        <v>38</v>
      </c>
      <c r="B30" s="11" t="str">
        <f t="shared" si="0"/>
        <v/>
      </c>
      <c r="C30" s="11" t="str">
        <f t="shared" si="1"/>
        <v/>
      </c>
      <c r="D30" s="47" t="str">
        <f t="shared" si="2"/>
        <v/>
      </c>
      <c r="E30" s="47" t="str">
        <f t="shared" si="3"/>
        <v/>
      </c>
      <c r="F30" s="47" t="str">
        <f t="shared" si="4"/>
        <v/>
      </c>
      <c r="G30" s="11" t="str">
        <f t="shared" si="5"/>
        <v/>
      </c>
      <c r="H30" s="11" t="str">
        <f t="shared" si="6"/>
        <v/>
      </c>
    </row>
    <row r="31" spans="1:8" x14ac:dyDescent="0.15">
      <c r="A31" s="3" t="s">
        <v>46</v>
      </c>
      <c r="B31" s="11" t="str">
        <f t="shared" si="0"/>
        <v/>
      </c>
      <c r="C31" s="11" t="str">
        <f t="shared" si="1"/>
        <v/>
      </c>
      <c r="D31" s="47" t="str">
        <f t="shared" si="2"/>
        <v/>
      </c>
      <c r="E31" s="47" t="str">
        <f t="shared" si="3"/>
        <v/>
      </c>
      <c r="F31" s="47" t="str">
        <f t="shared" si="4"/>
        <v/>
      </c>
      <c r="G31" s="11" t="str">
        <f t="shared" si="5"/>
        <v/>
      </c>
      <c r="H31" s="11" t="str">
        <f t="shared" si="6"/>
        <v/>
      </c>
    </row>
    <row r="32" spans="1:8" x14ac:dyDescent="0.15">
      <c r="A32" s="3" t="s">
        <v>54</v>
      </c>
      <c r="B32" s="11" t="str">
        <f t="shared" si="0"/>
        <v/>
      </c>
      <c r="C32" s="11" t="str">
        <f t="shared" si="1"/>
        <v/>
      </c>
      <c r="D32" s="47" t="str">
        <f t="shared" si="2"/>
        <v/>
      </c>
      <c r="E32" s="47" t="str">
        <f t="shared" si="3"/>
        <v/>
      </c>
      <c r="F32" s="47" t="str">
        <f t="shared" si="4"/>
        <v/>
      </c>
      <c r="G32" s="11" t="str">
        <f t="shared" si="5"/>
        <v/>
      </c>
      <c r="H32" s="11" t="str">
        <f t="shared" si="6"/>
        <v/>
      </c>
    </row>
    <row r="33" spans="1:8" x14ac:dyDescent="0.15">
      <c r="A33" s="3" t="s">
        <v>62</v>
      </c>
      <c r="B33" s="11" t="str">
        <f t="shared" si="0"/>
        <v/>
      </c>
      <c r="C33" s="11" t="str">
        <f t="shared" si="1"/>
        <v/>
      </c>
      <c r="D33" s="47" t="str">
        <f t="shared" si="2"/>
        <v/>
      </c>
      <c r="E33" s="47" t="str">
        <f t="shared" si="3"/>
        <v/>
      </c>
      <c r="F33" s="47" t="str">
        <f t="shared" si="4"/>
        <v/>
      </c>
      <c r="G33" s="11" t="str">
        <f t="shared" si="5"/>
        <v/>
      </c>
      <c r="H33" s="11" t="str">
        <f t="shared" si="6"/>
        <v/>
      </c>
    </row>
    <row r="34" spans="1:8" x14ac:dyDescent="0.15">
      <c r="A34" s="3" t="s">
        <v>70</v>
      </c>
      <c r="B34" s="11" t="str">
        <f t="shared" ref="B34:B65" si="7">IF(VLOOKUP($A34, analysis_table_by_well_with_zero, 14, FALSE)="RIPETERE ESTRAZIONE", VLOOKUP($A34, analysis_table_by_well_with_zero, 3, FALSE), "")</f>
        <v/>
      </c>
      <c r="C34" s="11" t="str">
        <f t="shared" ref="C34:C65" si="8">IF($B34&lt;&gt;"",VLOOKUP($A34, analysis_table_by_well_with_zero, 4, FALSE),"")</f>
        <v/>
      </c>
      <c r="D34" s="47" t="str">
        <f t="shared" ref="D34:D65" si="9">IF($F34&lt;&gt;"","Plate "&amp;VLOOKUP($A34, analysis_table_by_well_with_zero, 2, FALSE),"")</f>
        <v/>
      </c>
      <c r="E34" s="47" t="str">
        <f t="shared" ref="E34:E65" si="10">IF($F34&lt;&gt;"",VLOOKUP($A34, analysis_table_by_well_with_zero, 3, FALSE),"")</f>
        <v/>
      </c>
      <c r="F34" s="47" t="str">
        <f t="shared" ref="F34:F65" si="11">IF(VLOOKUP($A34, analysis_table_by_well_with_zero, 14, FALSE)="RIPETERE PCR", $A34, "")</f>
        <v/>
      </c>
      <c r="G34" s="11" t="str">
        <f t="shared" ref="G34:G65" si="12">IF(VLOOKUP($A34, analysis_table_by_well_with_zero, 14, FALSE)="RIPETERE TAMPONE", VLOOKUP($A34, analysis_table_by_well_with_zero, 3, FALSE), "")</f>
        <v/>
      </c>
      <c r="H34" s="11" t="str">
        <f t="shared" ref="H34:H65" si="13">IF($G34&lt;&gt;"",VLOOKUP($A34, analysis_table_by_well_with_zero, 4, FALSE),"")</f>
        <v/>
      </c>
    </row>
    <row r="35" spans="1:8" x14ac:dyDescent="0.15">
      <c r="A35" s="3" t="s">
        <v>139</v>
      </c>
      <c r="B35" s="11" t="str">
        <f t="shared" si="7"/>
        <v/>
      </c>
      <c r="C35" s="11" t="str">
        <f t="shared" si="8"/>
        <v/>
      </c>
      <c r="D35" s="47" t="str">
        <f t="shared" si="9"/>
        <v/>
      </c>
      <c r="E35" s="47" t="str">
        <f t="shared" si="10"/>
        <v/>
      </c>
      <c r="F35" s="47" t="str">
        <f t="shared" si="11"/>
        <v/>
      </c>
      <c r="G35" s="11" t="str">
        <f t="shared" si="12"/>
        <v/>
      </c>
      <c r="H35" s="11" t="str">
        <f t="shared" si="13"/>
        <v/>
      </c>
    </row>
    <row r="36" spans="1:8" x14ac:dyDescent="0.15">
      <c r="A36" s="3" t="s">
        <v>147</v>
      </c>
      <c r="B36" s="11" t="str">
        <f t="shared" si="7"/>
        <v/>
      </c>
      <c r="C36" s="11" t="str">
        <f t="shared" si="8"/>
        <v/>
      </c>
      <c r="D36" s="47" t="str">
        <f t="shared" si="9"/>
        <v/>
      </c>
      <c r="E36" s="47" t="str">
        <f t="shared" si="10"/>
        <v/>
      </c>
      <c r="F36" s="47" t="str">
        <f t="shared" si="11"/>
        <v/>
      </c>
      <c r="G36" s="11" t="str">
        <f t="shared" si="12"/>
        <v/>
      </c>
      <c r="H36" s="11" t="str">
        <f t="shared" si="13"/>
        <v/>
      </c>
    </row>
    <row r="37" spans="1:8" x14ac:dyDescent="0.15">
      <c r="A37" s="3" t="s">
        <v>155</v>
      </c>
      <c r="B37" s="11" t="str">
        <f t="shared" si="7"/>
        <v/>
      </c>
      <c r="C37" s="11" t="str">
        <f t="shared" si="8"/>
        <v/>
      </c>
      <c r="D37" s="47" t="str">
        <f t="shared" si="9"/>
        <v/>
      </c>
      <c r="E37" s="47" t="str">
        <f t="shared" si="10"/>
        <v/>
      </c>
      <c r="F37" s="47" t="str">
        <f t="shared" si="11"/>
        <v/>
      </c>
      <c r="G37" s="11" t="str">
        <f t="shared" si="12"/>
        <v/>
      </c>
      <c r="H37" s="11" t="str">
        <f t="shared" si="13"/>
        <v/>
      </c>
    </row>
    <row r="38" spans="1:8" x14ac:dyDescent="0.15">
      <c r="A38" s="3" t="s">
        <v>7</v>
      </c>
      <c r="B38" s="11" t="str">
        <f t="shared" si="7"/>
        <v/>
      </c>
      <c r="C38" s="11" t="str">
        <f t="shared" si="8"/>
        <v/>
      </c>
      <c r="D38" s="47" t="str">
        <f t="shared" si="9"/>
        <v/>
      </c>
      <c r="E38" s="47" t="str">
        <f t="shared" si="10"/>
        <v/>
      </c>
      <c r="F38" s="47" t="str">
        <f t="shared" si="11"/>
        <v/>
      </c>
      <c r="G38" s="11" t="str">
        <f t="shared" si="12"/>
        <v/>
      </c>
      <c r="H38" s="11" t="str">
        <f t="shared" si="13"/>
        <v/>
      </c>
    </row>
    <row r="39" spans="1:8" x14ac:dyDescent="0.15">
      <c r="A39" s="3" t="s">
        <v>15</v>
      </c>
      <c r="B39" s="11" t="str">
        <f t="shared" si="7"/>
        <v/>
      </c>
      <c r="C39" s="11" t="str">
        <f t="shared" si="8"/>
        <v/>
      </c>
      <c r="D39" s="47" t="str">
        <f t="shared" si="9"/>
        <v/>
      </c>
      <c r="E39" s="47" t="str">
        <f t="shared" si="10"/>
        <v/>
      </c>
      <c r="F39" s="47" t="str">
        <f t="shared" si="11"/>
        <v/>
      </c>
      <c r="G39" s="11" t="str">
        <f t="shared" si="12"/>
        <v/>
      </c>
      <c r="H39" s="11" t="str">
        <f t="shared" si="13"/>
        <v/>
      </c>
    </row>
    <row r="40" spans="1:8" x14ac:dyDescent="0.15">
      <c r="A40" s="3" t="s">
        <v>23</v>
      </c>
      <c r="B40" s="11" t="str">
        <f t="shared" si="7"/>
        <v/>
      </c>
      <c r="C40" s="11" t="str">
        <f t="shared" si="8"/>
        <v/>
      </c>
      <c r="D40" s="47" t="str">
        <f t="shared" si="9"/>
        <v/>
      </c>
      <c r="E40" s="47" t="str">
        <f t="shared" si="10"/>
        <v/>
      </c>
      <c r="F40" s="47" t="str">
        <f t="shared" si="11"/>
        <v/>
      </c>
      <c r="G40" s="11" t="str">
        <f t="shared" si="12"/>
        <v/>
      </c>
      <c r="H40" s="11" t="str">
        <f t="shared" si="13"/>
        <v/>
      </c>
    </row>
    <row r="41" spans="1:8" x14ac:dyDescent="0.15">
      <c r="A41" s="3" t="s">
        <v>31</v>
      </c>
      <c r="B41" s="11" t="str">
        <f t="shared" si="7"/>
        <v/>
      </c>
      <c r="C41" s="11" t="str">
        <f t="shared" si="8"/>
        <v/>
      </c>
      <c r="D41" s="47" t="str">
        <f t="shared" si="9"/>
        <v/>
      </c>
      <c r="E41" s="47" t="str">
        <f t="shared" si="10"/>
        <v/>
      </c>
      <c r="F41" s="47" t="str">
        <f t="shared" si="11"/>
        <v/>
      </c>
      <c r="G41" s="11" t="str">
        <f t="shared" si="12"/>
        <v/>
      </c>
      <c r="H41" s="11" t="str">
        <f t="shared" si="13"/>
        <v/>
      </c>
    </row>
    <row r="42" spans="1:8" x14ac:dyDescent="0.15">
      <c r="A42" s="3" t="s">
        <v>39</v>
      </c>
      <c r="B42" s="11" t="str">
        <f t="shared" si="7"/>
        <v/>
      </c>
      <c r="C42" s="11" t="str">
        <f t="shared" si="8"/>
        <v/>
      </c>
      <c r="D42" s="47" t="str">
        <f t="shared" si="9"/>
        <v/>
      </c>
      <c r="E42" s="47" t="str">
        <f t="shared" si="10"/>
        <v/>
      </c>
      <c r="F42" s="47" t="str">
        <f t="shared" si="11"/>
        <v/>
      </c>
      <c r="G42" s="11" t="str">
        <f t="shared" si="12"/>
        <v/>
      </c>
      <c r="H42" s="11" t="str">
        <f t="shared" si="13"/>
        <v/>
      </c>
    </row>
    <row r="43" spans="1:8" x14ac:dyDescent="0.15">
      <c r="A43" s="3" t="s">
        <v>47</v>
      </c>
      <c r="B43" s="11" t="str">
        <f t="shared" si="7"/>
        <v/>
      </c>
      <c r="C43" s="11" t="str">
        <f t="shared" si="8"/>
        <v/>
      </c>
      <c r="D43" s="47" t="str">
        <f t="shared" si="9"/>
        <v/>
      </c>
      <c r="E43" s="47" t="str">
        <f t="shared" si="10"/>
        <v/>
      </c>
      <c r="F43" s="47" t="str">
        <f t="shared" si="11"/>
        <v/>
      </c>
      <c r="G43" s="11" t="str">
        <f t="shared" si="12"/>
        <v/>
      </c>
      <c r="H43" s="11" t="str">
        <f t="shared" si="13"/>
        <v/>
      </c>
    </row>
    <row r="44" spans="1:8" x14ac:dyDescent="0.15">
      <c r="A44" s="3" t="s">
        <v>55</v>
      </c>
      <c r="B44" s="11" t="str">
        <f t="shared" si="7"/>
        <v/>
      </c>
      <c r="C44" s="11" t="str">
        <f t="shared" si="8"/>
        <v/>
      </c>
      <c r="D44" s="47" t="str">
        <f t="shared" si="9"/>
        <v/>
      </c>
      <c r="E44" s="47" t="str">
        <f t="shared" si="10"/>
        <v/>
      </c>
      <c r="F44" s="47" t="str">
        <f t="shared" si="11"/>
        <v/>
      </c>
      <c r="G44" s="11" t="str">
        <f t="shared" si="12"/>
        <v/>
      </c>
      <c r="H44" s="11" t="str">
        <f t="shared" si="13"/>
        <v/>
      </c>
    </row>
    <row r="45" spans="1:8" x14ac:dyDescent="0.15">
      <c r="A45" s="3" t="s">
        <v>63</v>
      </c>
      <c r="B45" s="11" t="str">
        <f t="shared" si="7"/>
        <v/>
      </c>
      <c r="C45" s="11" t="str">
        <f t="shared" si="8"/>
        <v/>
      </c>
      <c r="D45" s="47" t="str">
        <f t="shared" si="9"/>
        <v/>
      </c>
      <c r="E45" s="47" t="str">
        <f t="shared" si="10"/>
        <v/>
      </c>
      <c r="F45" s="47" t="str">
        <f t="shared" si="11"/>
        <v/>
      </c>
      <c r="G45" s="11" t="str">
        <f t="shared" si="12"/>
        <v/>
      </c>
      <c r="H45" s="11" t="str">
        <f t="shared" si="13"/>
        <v/>
      </c>
    </row>
    <row r="46" spans="1:8" x14ac:dyDescent="0.15">
      <c r="A46" s="3" t="s">
        <v>71</v>
      </c>
      <c r="B46" s="11" t="str">
        <f t="shared" si="7"/>
        <v/>
      </c>
      <c r="C46" s="11" t="str">
        <f t="shared" si="8"/>
        <v/>
      </c>
      <c r="D46" s="47" t="str">
        <f t="shared" si="9"/>
        <v/>
      </c>
      <c r="E46" s="47" t="str">
        <f t="shared" si="10"/>
        <v/>
      </c>
      <c r="F46" s="47" t="str">
        <f t="shared" si="11"/>
        <v/>
      </c>
      <c r="G46" s="11" t="str">
        <f t="shared" si="12"/>
        <v/>
      </c>
      <c r="H46" s="11" t="str">
        <f t="shared" si="13"/>
        <v/>
      </c>
    </row>
    <row r="47" spans="1:8" x14ac:dyDescent="0.15">
      <c r="A47" s="3" t="s">
        <v>140</v>
      </c>
      <c r="B47" s="11" t="str">
        <f t="shared" si="7"/>
        <v/>
      </c>
      <c r="C47" s="11" t="str">
        <f t="shared" si="8"/>
        <v/>
      </c>
      <c r="D47" s="47" t="str">
        <f t="shared" si="9"/>
        <v/>
      </c>
      <c r="E47" s="47" t="str">
        <f t="shared" si="10"/>
        <v/>
      </c>
      <c r="F47" s="47" t="str">
        <f t="shared" si="11"/>
        <v/>
      </c>
      <c r="G47" s="11" t="str">
        <f t="shared" si="12"/>
        <v/>
      </c>
      <c r="H47" s="11" t="str">
        <f t="shared" si="13"/>
        <v/>
      </c>
    </row>
    <row r="48" spans="1:8" x14ac:dyDescent="0.15">
      <c r="A48" s="3" t="s">
        <v>148</v>
      </c>
      <c r="B48" s="11" t="str">
        <f t="shared" si="7"/>
        <v/>
      </c>
      <c r="C48" s="11" t="str">
        <f t="shared" si="8"/>
        <v/>
      </c>
      <c r="D48" s="47" t="str">
        <f t="shared" si="9"/>
        <v/>
      </c>
      <c r="E48" s="47" t="str">
        <f t="shared" si="10"/>
        <v/>
      </c>
      <c r="F48" s="47" t="str">
        <f t="shared" si="11"/>
        <v/>
      </c>
      <c r="G48" s="11" t="str">
        <f t="shared" si="12"/>
        <v/>
      </c>
      <c r="H48" s="11" t="str">
        <f t="shared" si="13"/>
        <v/>
      </c>
    </row>
    <row r="49" spans="1:8" x14ac:dyDescent="0.15">
      <c r="A49" s="3" t="s">
        <v>156</v>
      </c>
      <c r="B49" s="11" t="str">
        <f t="shared" si="7"/>
        <v/>
      </c>
      <c r="C49" s="11" t="str">
        <f t="shared" si="8"/>
        <v/>
      </c>
      <c r="D49" s="47" t="str">
        <f t="shared" si="9"/>
        <v/>
      </c>
      <c r="E49" s="47" t="str">
        <f t="shared" si="10"/>
        <v/>
      </c>
      <c r="F49" s="47" t="str">
        <f t="shared" si="11"/>
        <v/>
      </c>
      <c r="G49" s="11" t="str">
        <f t="shared" si="12"/>
        <v/>
      </c>
      <c r="H49" s="11" t="str">
        <f t="shared" si="13"/>
        <v/>
      </c>
    </row>
    <row r="50" spans="1:8" x14ac:dyDescent="0.15">
      <c r="A50" s="3" t="s">
        <v>8</v>
      </c>
      <c r="B50" s="11" t="str">
        <f t="shared" si="7"/>
        <v/>
      </c>
      <c r="C50" s="11" t="str">
        <f t="shared" si="8"/>
        <v/>
      </c>
      <c r="D50" s="47" t="str">
        <f t="shared" si="9"/>
        <v/>
      </c>
      <c r="E50" s="47" t="str">
        <f t="shared" si="10"/>
        <v/>
      </c>
      <c r="F50" s="47" t="str">
        <f t="shared" si="11"/>
        <v/>
      </c>
      <c r="G50" s="11" t="str">
        <f t="shared" si="12"/>
        <v/>
      </c>
      <c r="H50" s="11" t="str">
        <f t="shared" si="13"/>
        <v/>
      </c>
    </row>
    <row r="51" spans="1:8" x14ac:dyDescent="0.15">
      <c r="A51" s="3" t="s">
        <v>16</v>
      </c>
      <c r="B51" s="11" t="str">
        <f t="shared" si="7"/>
        <v/>
      </c>
      <c r="C51" s="11" t="str">
        <f t="shared" si="8"/>
        <v/>
      </c>
      <c r="D51" s="47" t="str">
        <f t="shared" si="9"/>
        <v/>
      </c>
      <c r="E51" s="47" t="str">
        <f t="shared" si="10"/>
        <v/>
      </c>
      <c r="F51" s="47" t="str">
        <f t="shared" si="11"/>
        <v/>
      </c>
      <c r="G51" s="11" t="str">
        <f t="shared" si="12"/>
        <v/>
      </c>
      <c r="H51" s="11" t="str">
        <f t="shared" si="13"/>
        <v/>
      </c>
    </row>
    <row r="52" spans="1:8" x14ac:dyDescent="0.15">
      <c r="A52" s="3" t="s">
        <v>24</v>
      </c>
      <c r="B52" s="11" t="str">
        <f t="shared" si="7"/>
        <v/>
      </c>
      <c r="C52" s="11" t="str">
        <f t="shared" si="8"/>
        <v/>
      </c>
      <c r="D52" s="47" t="str">
        <f t="shared" si="9"/>
        <v/>
      </c>
      <c r="E52" s="47" t="str">
        <f t="shared" si="10"/>
        <v/>
      </c>
      <c r="F52" s="47" t="str">
        <f t="shared" si="11"/>
        <v/>
      </c>
      <c r="G52" s="11" t="str">
        <f t="shared" si="12"/>
        <v/>
      </c>
      <c r="H52" s="11" t="str">
        <f t="shared" si="13"/>
        <v/>
      </c>
    </row>
    <row r="53" spans="1:8" x14ac:dyDescent="0.15">
      <c r="A53" s="3" t="s">
        <v>32</v>
      </c>
      <c r="B53" s="11" t="str">
        <f t="shared" si="7"/>
        <v/>
      </c>
      <c r="C53" s="11" t="str">
        <f t="shared" si="8"/>
        <v/>
      </c>
      <c r="D53" s="47" t="str">
        <f t="shared" si="9"/>
        <v/>
      </c>
      <c r="E53" s="47" t="str">
        <f t="shared" si="10"/>
        <v/>
      </c>
      <c r="F53" s="47" t="str">
        <f t="shared" si="11"/>
        <v/>
      </c>
      <c r="G53" s="11" t="str">
        <f t="shared" si="12"/>
        <v/>
      </c>
      <c r="H53" s="11" t="str">
        <f t="shared" si="13"/>
        <v/>
      </c>
    </row>
    <row r="54" spans="1:8" x14ac:dyDescent="0.15">
      <c r="A54" s="3" t="s">
        <v>40</v>
      </c>
      <c r="B54" s="11" t="str">
        <f t="shared" si="7"/>
        <v/>
      </c>
      <c r="C54" s="11" t="str">
        <f t="shared" si="8"/>
        <v/>
      </c>
      <c r="D54" s="47" t="str">
        <f t="shared" si="9"/>
        <v/>
      </c>
      <c r="E54" s="47" t="str">
        <f t="shared" si="10"/>
        <v/>
      </c>
      <c r="F54" s="47" t="str">
        <f t="shared" si="11"/>
        <v/>
      </c>
      <c r="G54" s="11" t="str">
        <f t="shared" si="12"/>
        <v/>
      </c>
      <c r="H54" s="11" t="str">
        <f t="shared" si="13"/>
        <v/>
      </c>
    </row>
    <row r="55" spans="1:8" x14ac:dyDescent="0.15">
      <c r="A55" s="3" t="s">
        <v>48</v>
      </c>
      <c r="B55" s="11" t="str">
        <f t="shared" si="7"/>
        <v/>
      </c>
      <c r="C55" s="11" t="str">
        <f t="shared" si="8"/>
        <v/>
      </c>
      <c r="D55" s="47" t="str">
        <f t="shared" si="9"/>
        <v/>
      </c>
      <c r="E55" s="47" t="str">
        <f t="shared" si="10"/>
        <v/>
      </c>
      <c r="F55" s="47" t="str">
        <f t="shared" si="11"/>
        <v/>
      </c>
      <c r="G55" s="11" t="str">
        <f t="shared" si="12"/>
        <v/>
      </c>
      <c r="H55" s="11" t="str">
        <f t="shared" si="13"/>
        <v/>
      </c>
    </row>
    <row r="56" spans="1:8" x14ac:dyDescent="0.15">
      <c r="A56" s="3" t="s">
        <v>56</v>
      </c>
      <c r="B56" s="11" t="str">
        <f t="shared" si="7"/>
        <v/>
      </c>
      <c r="C56" s="11" t="str">
        <f t="shared" si="8"/>
        <v/>
      </c>
      <c r="D56" s="47" t="str">
        <f t="shared" si="9"/>
        <v/>
      </c>
      <c r="E56" s="47" t="str">
        <f t="shared" si="10"/>
        <v/>
      </c>
      <c r="F56" s="47" t="str">
        <f t="shared" si="11"/>
        <v/>
      </c>
      <c r="G56" s="11" t="str">
        <f t="shared" si="12"/>
        <v/>
      </c>
      <c r="H56" s="11" t="str">
        <f t="shared" si="13"/>
        <v/>
      </c>
    </row>
    <row r="57" spans="1:8" x14ac:dyDescent="0.15">
      <c r="A57" s="3" t="s">
        <v>64</v>
      </c>
      <c r="B57" s="11" t="str">
        <f t="shared" si="7"/>
        <v/>
      </c>
      <c r="C57" s="11" t="str">
        <f t="shared" si="8"/>
        <v/>
      </c>
      <c r="D57" s="47" t="str">
        <f t="shared" si="9"/>
        <v/>
      </c>
      <c r="E57" s="47" t="str">
        <f t="shared" si="10"/>
        <v/>
      </c>
      <c r="F57" s="47" t="str">
        <f t="shared" si="11"/>
        <v/>
      </c>
      <c r="G57" s="11" t="str">
        <f t="shared" si="12"/>
        <v/>
      </c>
      <c r="H57" s="11" t="str">
        <f t="shared" si="13"/>
        <v/>
      </c>
    </row>
    <row r="58" spans="1:8" x14ac:dyDescent="0.15">
      <c r="A58" s="3" t="s">
        <v>72</v>
      </c>
      <c r="B58" s="11" t="str">
        <f t="shared" si="7"/>
        <v/>
      </c>
      <c r="C58" s="11" t="str">
        <f t="shared" si="8"/>
        <v/>
      </c>
      <c r="D58" s="47" t="str">
        <f t="shared" si="9"/>
        <v/>
      </c>
      <c r="E58" s="47" t="str">
        <f t="shared" si="10"/>
        <v/>
      </c>
      <c r="F58" s="47" t="str">
        <f t="shared" si="11"/>
        <v/>
      </c>
      <c r="G58" s="11" t="str">
        <f t="shared" si="12"/>
        <v/>
      </c>
      <c r="H58" s="11" t="str">
        <f t="shared" si="13"/>
        <v/>
      </c>
    </row>
    <row r="59" spans="1:8" x14ac:dyDescent="0.15">
      <c r="A59" s="3" t="s">
        <v>141</v>
      </c>
      <c r="B59" s="11" t="str">
        <f t="shared" si="7"/>
        <v/>
      </c>
      <c r="C59" s="11" t="str">
        <f t="shared" si="8"/>
        <v/>
      </c>
      <c r="D59" s="47" t="str">
        <f t="shared" si="9"/>
        <v/>
      </c>
      <c r="E59" s="47" t="str">
        <f t="shared" si="10"/>
        <v/>
      </c>
      <c r="F59" s="47" t="str">
        <f t="shared" si="11"/>
        <v/>
      </c>
      <c r="G59" s="11" t="str">
        <f t="shared" si="12"/>
        <v/>
      </c>
      <c r="H59" s="11" t="str">
        <f t="shared" si="13"/>
        <v/>
      </c>
    </row>
    <row r="60" spans="1:8" x14ac:dyDescent="0.15">
      <c r="A60" s="3" t="s">
        <v>149</v>
      </c>
      <c r="B60" s="11" t="str">
        <f t="shared" si="7"/>
        <v/>
      </c>
      <c r="C60" s="11" t="str">
        <f t="shared" si="8"/>
        <v/>
      </c>
      <c r="D60" s="47" t="str">
        <f t="shared" si="9"/>
        <v/>
      </c>
      <c r="E60" s="47" t="str">
        <f t="shared" si="10"/>
        <v/>
      </c>
      <c r="F60" s="47" t="str">
        <f t="shared" si="11"/>
        <v/>
      </c>
      <c r="G60" s="11" t="str">
        <f t="shared" si="12"/>
        <v/>
      </c>
      <c r="H60" s="11" t="str">
        <f t="shared" si="13"/>
        <v/>
      </c>
    </row>
    <row r="61" spans="1:8" x14ac:dyDescent="0.15">
      <c r="A61" s="3" t="s">
        <v>157</v>
      </c>
      <c r="B61" s="11" t="str">
        <f t="shared" si="7"/>
        <v/>
      </c>
      <c r="C61" s="11" t="str">
        <f t="shared" si="8"/>
        <v/>
      </c>
      <c r="D61" s="47" t="str">
        <f t="shared" si="9"/>
        <v/>
      </c>
      <c r="E61" s="47" t="str">
        <f t="shared" si="10"/>
        <v/>
      </c>
      <c r="F61" s="47" t="str">
        <f t="shared" si="11"/>
        <v/>
      </c>
      <c r="G61" s="11" t="str">
        <f t="shared" si="12"/>
        <v/>
      </c>
      <c r="H61" s="11" t="str">
        <f t="shared" si="13"/>
        <v/>
      </c>
    </row>
    <row r="62" spans="1:8" x14ac:dyDescent="0.15">
      <c r="A62" s="3" t="s">
        <v>9</v>
      </c>
      <c r="B62" s="11" t="str">
        <f t="shared" si="7"/>
        <v/>
      </c>
      <c r="C62" s="11" t="str">
        <f t="shared" si="8"/>
        <v/>
      </c>
      <c r="D62" s="47" t="str">
        <f t="shared" si="9"/>
        <v/>
      </c>
      <c r="E62" s="47" t="str">
        <f t="shared" si="10"/>
        <v/>
      </c>
      <c r="F62" s="47" t="str">
        <f t="shared" si="11"/>
        <v/>
      </c>
      <c r="G62" s="11" t="str">
        <f t="shared" si="12"/>
        <v/>
      </c>
      <c r="H62" s="11" t="str">
        <f t="shared" si="13"/>
        <v/>
      </c>
    </row>
    <row r="63" spans="1:8" x14ac:dyDescent="0.15">
      <c r="A63" s="3" t="s">
        <v>17</v>
      </c>
      <c r="B63" s="11" t="str">
        <f t="shared" si="7"/>
        <v/>
      </c>
      <c r="C63" s="11" t="str">
        <f t="shared" si="8"/>
        <v/>
      </c>
      <c r="D63" s="47" t="str">
        <f t="shared" si="9"/>
        <v/>
      </c>
      <c r="E63" s="47" t="str">
        <f t="shared" si="10"/>
        <v/>
      </c>
      <c r="F63" s="47" t="str">
        <f t="shared" si="11"/>
        <v/>
      </c>
      <c r="G63" s="11" t="str">
        <f t="shared" si="12"/>
        <v/>
      </c>
      <c r="H63" s="11" t="str">
        <f t="shared" si="13"/>
        <v/>
      </c>
    </row>
    <row r="64" spans="1:8" x14ac:dyDescent="0.15">
      <c r="A64" s="3" t="s">
        <v>25</v>
      </c>
      <c r="B64" s="11" t="str">
        <f t="shared" si="7"/>
        <v/>
      </c>
      <c r="C64" s="11" t="str">
        <f t="shared" si="8"/>
        <v/>
      </c>
      <c r="D64" s="47" t="str">
        <f t="shared" si="9"/>
        <v/>
      </c>
      <c r="E64" s="47" t="str">
        <f t="shared" si="10"/>
        <v/>
      </c>
      <c r="F64" s="47" t="str">
        <f t="shared" si="11"/>
        <v/>
      </c>
      <c r="G64" s="11" t="str">
        <f t="shared" si="12"/>
        <v/>
      </c>
      <c r="H64" s="11" t="str">
        <f t="shared" si="13"/>
        <v/>
      </c>
    </row>
    <row r="65" spans="1:8" x14ac:dyDescent="0.15">
      <c r="A65" s="3" t="s">
        <v>33</v>
      </c>
      <c r="B65" s="11" t="str">
        <f t="shared" si="7"/>
        <v/>
      </c>
      <c r="C65" s="11" t="str">
        <f t="shared" si="8"/>
        <v/>
      </c>
      <c r="D65" s="47" t="str">
        <f t="shared" si="9"/>
        <v/>
      </c>
      <c r="E65" s="47" t="str">
        <f t="shared" si="10"/>
        <v/>
      </c>
      <c r="F65" s="47" t="str">
        <f t="shared" si="11"/>
        <v/>
      </c>
      <c r="G65" s="11" t="str">
        <f t="shared" si="12"/>
        <v/>
      </c>
      <c r="H65" s="11" t="str">
        <f t="shared" si="13"/>
        <v/>
      </c>
    </row>
    <row r="66" spans="1:8" x14ac:dyDescent="0.15">
      <c r="A66" s="3" t="s">
        <v>41</v>
      </c>
      <c r="B66" s="11" t="str">
        <f t="shared" ref="B66:B97" si="14">IF(VLOOKUP($A66, analysis_table_by_well_with_zero, 14, FALSE)="RIPETERE ESTRAZIONE", VLOOKUP($A66, analysis_table_by_well_with_zero, 3, FALSE), "")</f>
        <v/>
      </c>
      <c r="C66" s="11" t="str">
        <f t="shared" ref="C66:C97" si="15">IF($B66&lt;&gt;"",VLOOKUP($A66, analysis_table_by_well_with_zero, 4, FALSE),"")</f>
        <v/>
      </c>
      <c r="D66" s="47" t="str">
        <f t="shared" ref="D66:D97" si="16">IF($F66&lt;&gt;"","Plate "&amp;VLOOKUP($A66, analysis_table_by_well_with_zero, 2, FALSE),"")</f>
        <v/>
      </c>
      <c r="E66" s="47" t="str">
        <f t="shared" ref="E66:E97" si="17">IF($F66&lt;&gt;"",VLOOKUP($A66, analysis_table_by_well_with_zero, 3, FALSE),"")</f>
        <v/>
      </c>
      <c r="F66" s="47" t="str">
        <f t="shared" ref="F66:F97" si="18">IF(VLOOKUP($A66, analysis_table_by_well_with_zero, 14, FALSE)="RIPETERE PCR", $A66, "")</f>
        <v/>
      </c>
      <c r="G66" s="11" t="str">
        <f t="shared" ref="G66:G97" si="19">IF(VLOOKUP($A66, analysis_table_by_well_with_zero, 14, FALSE)="RIPETERE TAMPONE", VLOOKUP($A66, analysis_table_by_well_with_zero, 3, FALSE), "")</f>
        <v/>
      </c>
      <c r="H66" s="11" t="str">
        <f t="shared" ref="H66:H97" si="20">IF($G66&lt;&gt;"",VLOOKUP($A66, analysis_table_by_well_with_zero, 4, FALSE),"")</f>
        <v/>
      </c>
    </row>
    <row r="67" spans="1:8" x14ac:dyDescent="0.15">
      <c r="A67" s="3" t="s">
        <v>49</v>
      </c>
      <c r="B67" s="11" t="str">
        <f t="shared" si="14"/>
        <v/>
      </c>
      <c r="C67" s="11" t="str">
        <f t="shared" si="15"/>
        <v/>
      </c>
      <c r="D67" s="47" t="str">
        <f t="shared" si="16"/>
        <v/>
      </c>
      <c r="E67" s="47" t="str">
        <f t="shared" si="17"/>
        <v/>
      </c>
      <c r="F67" s="47" t="str">
        <f t="shared" si="18"/>
        <v/>
      </c>
      <c r="G67" s="11" t="str">
        <f t="shared" si="19"/>
        <v/>
      </c>
      <c r="H67" s="11" t="str">
        <f t="shared" si="20"/>
        <v/>
      </c>
    </row>
    <row r="68" spans="1:8" x14ac:dyDescent="0.15">
      <c r="A68" s="3" t="s">
        <v>57</v>
      </c>
      <c r="B68" s="11" t="str">
        <f t="shared" si="14"/>
        <v/>
      </c>
      <c r="C68" s="11" t="str">
        <f t="shared" si="15"/>
        <v/>
      </c>
      <c r="D68" s="47" t="str">
        <f t="shared" si="16"/>
        <v/>
      </c>
      <c r="E68" s="47" t="str">
        <f t="shared" si="17"/>
        <v/>
      </c>
      <c r="F68" s="47" t="str">
        <f t="shared" si="18"/>
        <v/>
      </c>
      <c r="G68" s="11" t="str">
        <f t="shared" si="19"/>
        <v/>
      </c>
      <c r="H68" s="11" t="str">
        <f t="shared" si="20"/>
        <v/>
      </c>
    </row>
    <row r="69" spans="1:8" x14ac:dyDescent="0.15">
      <c r="A69" s="3" t="s">
        <v>65</v>
      </c>
      <c r="B69" s="11" t="str">
        <f t="shared" si="14"/>
        <v/>
      </c>
      <c r="C69" s="11" t="str">
        <f t="shared" si="15"/>
        <v/>
      </c>
      <c r="D69" s="47" t="str">
        <f t="shared" si="16"/>
        <v/>
      </c>
      <c r="E69" s="47" t="str">
        <f t="shared" si="17"/>
        <v/>
      </c>
      <c r="F69" s="47" t="str">
        <f t="shared" si="18"/>
        <v/>
      </c>
      <c r="G69" s="11" t="str">
        <f t="shared" si="19"/>
        <v/>
      </c>
      <c r="H69" s="11" t="str">
        <f t="shared" si="20"/>
        <v/>
      </c>
    </row>
    <row r="70" spans="1:8" x14ac:dyDescent="0.15">
      <c r="A70" s="3" t="s">
        <v>73</v>
      </c>
      <c r="B70" s="11" t="str">
        <f t="shared" si="14"/>
        <v/>
      </c>
      <c r="C70" s="11" t="str">
        <f t="shared" si="15"/>
        <v/>
      </c>
      <c r="D70" s="47" t="str">
        <f t="shared" si="16"/>
        <v/>
      </c>
      <c r="E70" s="47" t="str">
        <f t="shared" si="17"/>
        <v/>
      </c>
      <c r="F70" s="47" t="str">
        <f t="shared" si="18"/>
        <v/>
      </c>
      <c r="G70" s="11" t="str">
        <f t="shared" si="19"/>
        <v/>
      </c>
      <c r="H70" s="11" t="str">
        <f t="shared" si="20"/>
        <v/>
      </c>
    </row>
    <row r="71" spans="1:8" x14ac:dyDescent="0.15">
      <c r="A71" s="3" t="s">
        <v>142</v>
      </c>
      <c r="B71" s="11" t="str">
        <f t="shared" si="14"/>
        <v/>
      </c>
      <c r="C71" s="11" t="str">
        <f t="shared" si="15"/>
        <v/>
      </c>
      <c r="D71" s="47" t="str">
        <f t="shared" si="16"/>
        <v/>
      </c>
      <c r="E71" s="47" t="str">
        <f t="shared" si="17"/>
        <v/>
      </c>
      <c r="F71" s="47" t="str">
        <f t="shared" si="18"/>
        <v/>
      </c>
      <c r="G71" s="11" t="str">
        <f t="shared" si="19"/>
        <v/>
      </c>
      <c r="H71" s="11" t="str">
        <f t="shared" si="20"/>
        <v/>
      </c>
    </row>
    <row r="72" spans="1:8" x14ac:dyDescent="0.15">
      <c r="A72" s="3" t="s">
        <v>150</v>
      </c>
      <c r="B72" s="11" t="str">
        <f t="shared" si="14"/>
        <v/>
      </c>
      <c r="C72" s="11" t="str">
        <f t="shared" si="15"/>
        <v/>
      </c>
      <c r="D72" s="47" t="str">
        <f t="shared" si="16"/>
        <v/>
      </c>
      <c r="E72" s="47" t="str">
        <f t="shared" si="17"/>
        <v/>
      </c>
      <c r="F72" s="47" t="str">
        <f t="shared" si="18"/>
        <v/>
      </c>
      <c r="G72" s="11" t="str">
        <f t="shared" si="19"/>
        <v/>
      </c>
      <c r="H72" s="11" t="str">
        <f t="shared" si="20"/>
        <v/>
      </c>
    </row>
    <row r="73" spans="1:8" x14ac:dyDescent="0.15">
      <c r="A73" s="3" t="s">
        <v>158</v>
      </c>
      <c r="B73" s="11" t="str">
        <f t="shared" si="14"/>
        <v/>
      </c>
      <c r="C73" s="11" t="str">
        <f t="shared" si="15"/>
        <v/>
      </c>
      <c r="D73" s="47" t="str">
        <f t="shared" si="16"/>
        <v/>
      </c>
      <c r="E73" s="47" t="str">
        <f t="shared" si="17"/>
        <v/>
      </c>
      <c r="F73" s="47" t="str">
        <f t="shared" si="18"/>
        <v/>
      </c>
      <c r="G73" s="11" t="str">
        <f t="shared" si="19"/>
        <v/>
      </c>
      <c r="H73" s="11" t="str">
        <f t="shared" si="20"/>
        <v/>
      </c>
    </row>
    <row r="74" spans="1:8" x14ac:dyDescent="0.15">
      <c r="A74" s="3" t="s">
        <v>10</v>
      </c>
      <c r="B74" s="11" t="str">
        <f t="shared" si="14"/>
        <v/>
      </c>
      <c r="C74" s="11" t="str">
        <f t="shared" si="15"/>
        <v/>
      </c>
      <c r="D74" s="47" t="str">
        <f t="shared" si="16"/>
        <v/>
      </c>
      <c r="E74" s="47" t="str">
        <f t="shared" si="17"/>
        <v/>
      </c>
      <c r="F74" s="47" t="str">
        <f t="shared" si="18"/>
        <v/>
      </c>
      <c r="G74" s="11" t="str">
        <f t="shared" si="19"/>
        <v/>
      </c>
      <c r="H74" s="11" t="str">
        <f t="shared" si="20"/>
        <v/>
      </c>
    </row>
    <row r="75" spans="1:8" x14ac:dyDescent="0.15">
      <c r="A75" s="3" t="s">
        <v>18</v>
      </c>
      <c r="B75" s="11" t="str">
        <f t="shared" si="14"/>
        <v/>
      </c>
      <c r="C75" s="11" t="str">
        <f t="shared" si="15"/>
        <v/>
      </c>
      <c r="D75" s="47" t="str">
        <f t="shared" si="16"/>
        <v/>
      </c>
      <c r="E75" s="47" t="str">
        <f t="shared" si="17"/>
        <v/>
      </c>
      <c r="F75" s="47" t="str">
        <f t="shared" si="18"/>
        <v/>
      </c>
      <c r="G75" s="11" t="str">
        <f t="shared" si="19"/>
        <v/>
      </c>
      <c r="H75" s="11" t="str">
        <f t="shared" si="20"/>
        <v/>
      </c>
    </row>
    <row r="76" spans="1:8" x14ac:dyDescent="0.15">
      <c r="A76" s="3" t="s">
        <v>26</v>
      </c>
      <c r="B76" s="11" t="str">
        <f t="shared" si="14"/>
        <v/>
      </c>
      <c r="C76" s="11" t="str">
        <f t="shared" si="15"/>
        <v/>
      </c>
      <c r="D76" s="47" t="str">
        <f t="shared" si="16"/>
        <v/>
      </c>
      <c r="E76" s="47" t="str">
        <f t="shared" si="17"/>
        <v/>
      </c>
      <c r="F76" s="47" t="str">
        <f t="shared" si="18"/>
        <v/>
      </c>
      <c r="G76" s="11" t="str">
        <f t="shared" si="19"/>
        <v/>
      </c>
      <c r="H76" s="11" t="str">
        <f t="shared" si="20"/>
        <v/>
      </c>
    </row>
    <row r="77" spans="1:8" x14ac:dyDescent="0.15">
      <c r="A77" s="3" t="s">
        <v>34</v>
      </c>
      <c r="B77" s="11" t="str">
        <f t="shared" si="14"/>
        <v/>
      </c>
      <c r="C77" s="11" t="str">
        <f t="shared" si="15"/>
        <v/>
      </c>
      <c r="D77" s="47" t="str">
        <f t="shared" si="16"/>
        <v/>
      </c>
      <c r="E77" s="47" t="str">
        <f t="shared" si="17"/>
        <v/>
      </c>
      <c r="F77" s="47" t="str">
        <f t="shared" si="18"/>
        <v/>
      </c>
      <c r="G77" s="11" t="str">
        <f t="shared" si="19"/>
        <v/>
      </c>
      <c r="H77" s="11" t="str">
        <f t="shared" si="20"/>
        <v/>
      </c>
    </row>
    <row r="78" spans="1:8" x14ac:dyDescent="0.15">
      <c r="A78" s="3" t="s">
        <v>42</v>
      </c>
      <c r="B78" s="11" t="str">
        <f t="shared" si="14"/>
        <v/>
      </c>
      <c r="C78" s="11" t="str">
        <f t="shared" si="15"/>
        <v/>
      </c>
      <c r="D78" s="47" t="str">
        <f t="shared" si="16"/>
        <v/>
      </c>
      <c r="E78" s="47" t="str">
        <f t="shared" si="17"/>
        <v/>
      </c>
      <c r="F78" s="47" t="str">
        <f t="shared" si="18"/>
        <v/>
      </c>
      <c r="G78" s="11" t="str">
        <f t="shared" si="19"/>
        <v/>
      </c>
      <c r="H78" s="11" t="str">
        <f t="shared" si="20"/>
        <v/>
      </c>
    </row>
    <row r="79" spans="1:8" x14ac:dyDescent="0.15">
      <c r="A79" s="3" t="s">
        <v>50</v>
      </c>
      <c r="B79" s="11" t="str">
        <f t="shared" si="14"/>
        <v/>
      </c>
      <c r="C79" s="11" t="str">
        <f t="shared" si="15"/>
        <v/>
      </c>
      <c r="D79" s="47" t="str">
        <f t="shared" si="16"/>
        <v/>
      </c>
      <c r="E79" s="47" t="str">
        <f t="shared" si="17"/>
        <v/>
      </c>
      <c r="F79" s="47" t="str">
        <f t="shared" si="18"/>
        <v/>
      </c>
      <c r="G79" s="11" t="str">
        <f t="shared" si="19"/>
        <v/>
      </c>
      <c r="H79" s="11" t="str">
        <f t="shared" si="20"/>
        <v/>
      </c>
    </row>
    <row r="80" spans="1:8" x14ac:dyDescent="0.15">
      <c r="A80" s="3" t="s">
        <v>58</v>
      </c>
      <c r="B80" s="11" t="str">
        <f t="shared" si="14"/>
        <v/>
      </c>
      <c r="C80" s="11" t="str">
        <f t="shared" si="15"/>
        <v/>
      </c>
      <c r="D80" s="47" t="str">
        <f t="shared" si="16"/>
        <v/>
      </c>
      <c r="E80" s="47" t="str">
        <f t="shared" si="17"/>
        <v/>
      </c>
      <c r="F80" s="47" t="str">
        <f t="shared" si="18"/>
        <v/>
      </c>
      <c r="G80" s="11" t="str">
        <f t="shared" si="19"/>
        <v/>
      </c>
      <c r="H80" s="11" t="str">
        <f t="shared" si="20"/>
        <v/>
      </c>
    </row>
    <row r="81" spans="1:8" x14ac:dyDescent="0.15">
      <c r="A81" s="3" t="s">
        <v>66</v>
      </c>
      <c r="B81" s="11" t="str">
        <f t="shared" si="14"/>
        <v/>
      </c>
      <c r="C81" s="11" t="str">
        <f t="shared" si="15"/>
        <v/>
      </c>
      <c r="D81" s="47" t="str">
        <f t="shared" si="16"/>
        <v/>
      </c>
      <c r="E81" s="47" t="str">
        <f t="shared" si="17"/>
        <v/>
      </c>
      <c r="F81" s="47" t="str">
        <f t="shared" si="18"/>
        <v/>
      </c>
      <c r="G81" s="11" t="str">
        <f t="shared" si="19"/>
        <v/>
      </c>
      <c r="H81" s="11" t="str">
        <f t="shared" si="20"/>
        <v/>
      </c>
    </row>
    <row r="82" spans="1:8" x14ac:dyDescent="0.15">
      <c r="A82" s="3" t="s">
        <v>74</v>
      </c>
      <c r="B82" s="11" t="str">
        <f t="shared" si="14"/>
        <v/>
      </c>
      <c r="C82" s="11" t="str">
        <f t="shared" si="15"/>
        <v/>
      </c>
      <c r="D82" s="47" t="str">
        <f t="shared" si="16"/>
        <v/>
      </c>
      <c r="E82" s="47" t="str">
        <f t="shared" si="17"/>
        <v/>
      </c>
      <c r="F82" s="47" t="str">
        <f t="shared" si="18"/>
        <v/>
      </c>
      <c r="G82" s="11" t="str">
        <f t="shared" si="19"/>
        <v/>
      </c>
      <c r="H82" s="11" t="str">
        <f t="shared" si="20"/>
        <v/>
      </c>
    </row>
    <row r="83" spans="1:8" x14ac:dyDescent="0.15">
      <c r="A83" s="3" t="s">
        <v>143</v>
      </c>
      <c r="B83" s="11" t="str">
        <f t="shared" si="14"/>
        <v/>
      </c>
      <c r="C83" s="11" t="str">
        <f t="shared" si="15"/>
        <v/>
      </c>
      <c r="D83" s="47" t="str">
        <f t="shared" si="16"/>
        <v/>
      </c>
      <c r="E83" s="47" t="str">
        <f t="shared" si="17"/>
        <v/>
      </c>
      <c r="F83" s="47" t="str">
        <f t="shared" si="18"/>
        <v/>
      </c>
      <c r="G83" s="11" t="str">
        <f t="shared" si="19"/>
        <v/>
      </c>
      <c r="H83" s="11" t="str">
        <f t="shared" si="20"/>
        <v/>
      </c>
    </row>
    <row r="84" spans="1:8" x14ac:dyDescent="0.15">
      <c r="A84" s="3" t="s">
        <v>151</v>
      </c>
      <c r="B84" s="11" t="str">
        <f t="shared" si="14"/>
        <v/>
      </c>
      <c r="C84" s="11" t="str">
        <f t="shared" si="15"/>
        <v/>
      </c>
      <c r="D84" s="47" t="str">
        <f t="shared" si="16"/>
        <v/>
      </c>
      <c r="E84" s="47" t="str">
        <f t="shared" si="17"/>
        <v/>
      </c>
      <c r="F84" s="47" t="str">
        <f t="shared" si="18"/>
        <v/>
      </c>
      <c r="G84" s="11" t="str">
        <f t="shared" si="19"/>
        <v/>
      </c>
      <c r="H84" s="11" t="str">
        <f t="shared" si="20"/>
        <v/>
      </c>
    </row>
    <row r="85" spans="1:8" x14ac:dyDescent="0.15">
      <c r="A85" s="3" t="s">
        <v>159</v>
      </c>
      <c r="B85" s="11" t="str">
        <f t="shared" si="14"/>
        <v/>
      </c>
      <c r="C85" s="11" t="str">
        <f t="shared" si="15"/>
        <v/>
      </c>
      <c r="D85" s="47" t="str">
        <f t="shared" si="16"/>
        <v/>
      </c>
      <c r="E85" s="47" t="str">
        <f t="shared" si="17"/>
        <v/>
      </c>
      <c r="F85" s="47" t="str">
        <f t="shared" si="18"/>
        <v/>
      </c>
      <c r="G85" s="11" t="str">
        <f t="shared" si="19"/>
        <v/>
      </c>
      <c r="H85" s="11" t="str">
        <f t="shared" si="20"/>
        <v/>
      </c>
    </row>
    <row r="86" spans="1:8" x14ac:dyDescent="0.15">
      <c r="A86" s="3" t="s">
        <v>11</v>
      </c>
      <c r="B86" s="11" t="str">
        <f t="shared" si="14"/>
        <v/>
      </c>
      <c r="C86" s="11" t="str">
        <f t="shared" si="15"/>
        <v/>
      </c>
      <c r="D86" s="47" t="str">
        <f t="shared" si="16"/>
        <v/>
      </c>
      <c r="E86" s="47" t="str">
        <f t="shared" si="17"/>
        <v/>
      </c>
      <c r="F86" s="47" t="str">
        <f t="shared" si="18"/>
        <v/>
      </c>
      <c r="G86" s="11" t="str">
        <f t="shared" si="19"/>
        <v/>
      </c>
      <c r="H86" s="11" t="str">
        <f t="shared" si="20"/>
        <v/>
      </c>
    </row>
    <row r="87" spans="1:8" x14ac:dyDescent="0.15">
      <c r="A87" s="3" t="s">
        <v>19</v>
      </c>
      <c r="B87" s="11" t="str">
        <f t="shared" si="14"/>
        <v/>
      </c>
      <c r="C87" s="11" t="str">
        <f t="shared" si="15"/>
        <v/>
      </c>
      <c r="D87" s="47" t="str">
        <f t="shared" si="16"/>
        <v/>
      </c>
      <c r="E87" s="47" t="str">
        <f t="shared" si="17"/>
        <v/>
      </c>
      <c r="F87" s="47" t="str">
        <f t="shared" si="18"/>
        <v/>
      </c>
      <c r="G87" s="11" t="str">
        <f t="shared" si="19"/>
        <v/>
      </c>
      <c r="H87" s="11" t="str">
        <f t="shared" si="20"/>
        <v/>
      </c>
    </row>
    <row r="88" spans="1:8" x14ac:dyDescent="0.15">
      <c r="A88" s="3" t="s">
        <v>27</v>
      </c>
      <c r="B88" s="11" t="str">
        <f t="shared" si="14"/>
        <v/>
      </c>
      <c r="C88" s="11" t="str">
        <f t="shared" si="15"/>
        <v/>
      </c>
      <c r="D88" s="47" t="str">
        <f t="shared" si="16"/>
        <v/>
      </c>
      <c r="E88" s="47" t="str">
        <f t="shared" si="17"/>
        <v/>
      </c>
      <c r="F88" s="47" t="str">
        <f t="shared" si="18"/>
        <v/>
      </c>
      <c r="G88" s="11" t="str">
        <f t="shared" si="19"/>
        <v/>
      </c>
      <c r="H88" s="11" t="str">
        <f t="shared" si="20"/>
        <v/>
      </c>
    </row>
    <row r="89" spans="1:8" x14ac:dyDescent="0.15">
      <c r="A89" s="3" t="s">
        <v>35</v>
      </c>
      <c r="B89" s="11" t="str">
        <f t="shared" si="14"/>
        <v/>
      </c>
      <c r="C89" s="11" t="str">
        <f t="shared" si="15"/>
        <v/>
      </c>
      <c r="D89" s="47" t="str">
        <f t="shared" si="16"/>
        <v/>
      </c>
      <c r="E89" s="47" t="str">
        <f t="shared" si="17"/>
        <v/>
      </c>
      <c r="F89" s="47" t="str">
        <f t="shared" si="18"/>
        <v/>
      </c>
      <c r="G89" s="11" t="str">
        <f t="shared" si="19"/>
        <v/>
      </c>
      <c r="H89" s="11" t="str">
        <f t="shared" si="20"/>
        <v/>
      </c>
    </row>
    <row r="90" spans="1:8" x14ac:dyDescent="0.15">
      <c r="A90" s="3" t="s">
        <v>43</v>
      </c>
      <c r="B90" s="11" t="str">
        <f t="shared" si="14"/>
        <v/>
      </c>
      <c r="C90" s="11" t="str">
        <f t="shared" si="15"/>
        <v/>
      </c>
      <c r="D90" s="47" t="str">
        <f t="shared" si="16"/>
        <v/>
      </c>
      <c r="E90" s="47" t="str">
        <f t="shared" si="17"/>
        <v/>
      </c>
      <c r="F90" s="47" t="str">
        <f t="shared" si="18"/>
        <v/>
      </c>
      <c r="G90" s="11" t="str">
        <f t="shared" si="19"/>
        <v/>
      </c>
      <c r="H90" s="11" t="str">
        <f t="shared" si="20"/>
        <v/>
      </c>
    </row>
    <row r="91" spans="1:8" x14ac:dyDescent="0.15">
      <c r="A91" s="3" t="s">
        <v>51</v>
      </c>
      <c r="B91" s="11" t="str">
        <f t="shared" si="14"/>
        <v/>
      </c>
      <c r="C91" s="11" t="str">
        <f t="shared" si="15"/>
        <v/>
      </c>
      <c r="D91" s="47" t="str">
        <f t="shared" si="16"/>
        <v/>
      </c>
      <c r="E91" s="47" t="str">
        <f t="shared" si="17"/>
        <v/>
      </c>
      <c r="F91" s="47" t="str">
        <f t="shared" si="18"/>
        <v/>
      </c>
      <c r="G91" s="11" t="str">
        <f t="shared" si="19"/>
        <v/>
      </c>
      <c r="H91" s="11" t="str">
        <f t="shared" si="20"/>
        <v/>
      </c>
    </row>
    <row r="92" spans="1:8" x14ac:dyDescent="0.15">
      <c r="A92" s="3" t="s">
        <v>59</v>
      </c>
      <c r="B92" s="11" t="str">
        <f t="shared" si="14"/>
        <v/>
      </c>
      <c r="C92" s="11" t="str">
        <f t="shared" si="15"/>
        <v/>
      </c>
      <c r="D92" s="47" t="str">
        <f t="shared" si="16"/>
        <v/>
      </c>
      <c r="E92" s="47" t="str">
        <f t="shared" si="17"/>
        <v/>
      </c>
      <c r="F92" s="47" t="str">
        <f t="shared" si="18"/>
        <v/>
      </c>
      <c r="G92" s="11" t="str">
        <f t="shared" si="19"/>
        <v/>
      </c>
      <c r="H92" s="11" t="str">
        <f t="shared" si="20"/>
        <v/>
      </c>
    </row>
    <row r="93" spans="1:8" x14ac:dyDescent="0.15">
      <c r="A93" s="3" t="s">
        <v>67</v>
      </c>
      <c r="B93" s="11" t="str">
        <f t="shared" si="14"/>
        <v/>
      </c>
      <c r="C93" s="11" t="str">
        <f t="shared" si="15"/>
        <v/>
      </c>
      <c r="D93" s="47" t="str">
        <f t="shared" si="16"/>
        <v/>
      </c>
      <c r="E93" s="47" t="str">
        <f t="shared" si="17"/>
        <v/>
      </c>
      <c r="F93" s="47" t="str">
        <f t="shared" si="18"/>
        <v/>
      </c>
      <c r="G93" s="11" t="str">
        <f t="shared" si="19"/>
        <v/>
      </c>
      <c r="H93" s="11" t="str">
        <f t="shared" si="20"/>
        <v/>
      </c>
    </row>
    <row r="94" spans="1:8" x14ac:dyDescent="0.15">
      <c r="A94" s="3" t="s">
        <v>75</v>
      </c>
      <c r="B94" s="11" t="str">
        <f t="shared" si="14"/>
        <v/>
      </c>
      <c r="C94" s="11" t="str">
        <f t="shared" si="15"/>
        <v/>
      </c>
      <c r="D94" s="47" t="str">
        <f t="shared" si="16"/>
        <v/>
      </c>
      <c r="E94" s="47" t="str">
        <f t="shared" si="17"/>
        <v/>
      </c>
      <c r="F94" s="47" t="str">
        <f t="shared" si="18"/>
        <v/>
      </c>
      <c r="G94" s="11" t="str">
        <f t="shared" si="19"/>
        <v/>
      </c>
      <c r="H94" s="11" t="str">
        <f t="shared" si="20"/>
        <v/>
      </c>
    </row>
    <row r="95" spans="1:8" x14ac:dyDescent="0.15">
      <c r="A95" s="3" t="s">
        <v>144</v>
      </c>
      <c r="B95" s="11" t="str">
        <f t="shared" si="14"/>
        <v/>
      </c>
      <c r="C95" s="11" t="str">
        <f t="shared" si="15"/>
        <v/>
      </c>
      <c r="D95" s="47" t="str">
        <f t="shared" si="16"/>
        <v/>
      </c>
      <c r="E95" s="47" t="str">
        <f t="shared" si="17"/>
        <v/>
      </c>
      <c r="F95" s="47" t="str">
        <f t="shared" si="18"/>
        <v/>
      </c>
      <c r="G95" s="11" t="str">
        <f t="shared" si="19"/>
        <v/>
      </c>
      <c r="H95" s="11" t="str">
        <f t="shared" si="20"/>
        <v/>
      </c>
    </row>
    <row r="96" spans="1:8" x14ac:dyDescent="0.15">
      <c r="A96" s="3" t="s">
        <v>152</v>
      </c>
      <c r="B96" s="11" t="str">
        <f t="shared" si="14"/>
        <v/>
      </c>
      <c r="C96" s="11" t="str">
        <f t="shared" si="15"/>
        <v/>
      </c>
      <c r="D96" s="47" t="str">
        <f t="shared" si="16"/>
        <v/>
      </c>
      <c r="E96" s="47" t="str">
        <f t="shared" si="17"/>
        <v/>
      </c>
      <c r="F96" s="47" t="str">
        <f t="shared" si="18"/>
        <v/>
      </c>
      <c r="G96" s="11" t="str">
        <f t="shared" si="19"/>
        <v/>
      </c>
      <c r="H96" s="11" t="str">
        <f t="shared" si="20"/>
        <v/>
      </c>
    </row>
    <row r="97" spans="1:8" x14ac:dyDescent="0.15">
      <c r="A97" s="3" t="s">
        <v>160</v>
      </c>
      <c r="B97" s="11" t="str">
        <f t="shared" si="14"/>
        <v/>
      </c>
      <c r="C97" s="11" t="str">
        <f t="shared" si="15"/>
        <v/>
      </c>
      <c r="D97" s="47" t="str">
        <f t="shared" si="16"/>
        <v/>
      </c>
      <c r="E97" s="47" t="str">
        <f t="shared" si="17"/>
        <v/>
      </c>
      <c r="F97" s="47" t="str">
        <f t="shared" si="18"/>
        <v/>
      </c>
      <c r="G97" s="11" t="str">
        <f t="shared" si="19"/>
        <v/>
      </c>
      <c r="H97" s="11" t="str">
        <f t="shared" si="20"/>
        <v/>
      </c>
    </row>
    <row r="98" spans="1:8" x14ac:dyDescent="0.15">
      <c r="A98" s="13"/>
    </row>
  </sheetData>
  <sheetProtection sheet="1" objects="1" scenarios="1" sort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pageSetUpPr fitToPage="1"/>
  </sheetPr>
  <dimension ref="A1:M98"/>
  <sheetViews>
    <sheetView zoomScaleNormal="100" workbookViewId="0"/>
  </sheetViews>
  <sheetFormatPr defaultRowHeight="33.75" x14ac:dyDescent="0.15"/>
  <cols>
    <col min="1" max="1" width="12.1640625" style="11" customWidth="1"/>
    <col min="2" max="2" width="8" style="11" customWidth="1"/>
    <col min="3" max="3" width="14" style="42" customWidth="1"/>
    <col min="4" max="4" width="26.5" style="72" customWidth="1"/>
    <col min="5" max="5" width="19.33203125" style="11" customWidth="1"/>
    <col min="6" max="6" width="16.6640625" style="73" customWidth="1"/>
    <col min="7" max="7" width="12.5" style="74" customWidth="1"/>
    <col min="8" max="8" width="13.33203125" style="75" customWidth="1"/>
    <col min="9" max="9" width="54.1640625" style="76" customWidth="1"/>
    <col min="10" max="16384" width="9.33203125" style="11"/>
  </cols>
  <sheetData>
    <row r="1" spans="1:13" ht="57" customHeight="1" thickTop="1" x14ac:dyDescent="0.15">
      <c r="A1" s="48" t="s">
        <v>117</v>
      </c>
      <c r="B1" s="49" t="s">
        <v>165</v>
      </c>
      <c r="C1" s="49" t="s">
        <v>116</v>
      </c>
      <c r="D1" s="49" t="s">
        <v>116</v>
      </c>
      <c r="E1" s="49" t="s">
        <v>115</v>
      </c>
      <c r="F1" s="50" t="s">
        <v>168</v>
      </c>
      <c r="G1" s="50" t="s">
        <v>167</v>
      </c>
      <c r="H1" s="50" t="s">
        <v>166</v>
      </c>
      <c r="I1" s="51" t="s">
        <v>164</v>
      </c>
      <c r="M1" s="27"/>
    </row>
    <row r="2" spans="1:13" ht="52.5" customHeight="1" x14ac:dyDescent="0.15">
      <c r="A2" s="52" t="str">
        <f t="shared" ref="A2:A33" si="0">VLOOKUP($B2, analysis_table_by_well_with_zero, 2, FALSE)</f>
        <v/>
      </c>
      <c r="B2" s="53" t="s">
        <v>55</v>
      </c>
      <c r="C2" s="54" t="str">
        <f t="shared" ref="C2:C33" ca="1" si="1">VLOOKUP($B2, analysis_table_by_well_with_zero, 3, FALSE)</f>
        <v/>
      </c>
      <c r="D2" s="55" t="str">
        <f ca="1">IF(VLOOKUP($B2, analysis_table_by_well_with_zero, 18, FALSE),CODE128(VLOOKUP($B2, analysis_table_by_well_with_zero, 3, FALSE)),"")</f>
        <v/>
      </c>
      <c r="E2" s="56" t="str">
        <f t="shared" ref="E2:E33" ca="1" si="2">IF($D2&lt;&gt;"",VLOOKUP($B2, analysis_table_by_well_with_zero, 17, FALSE),"")</f>
        <v/>
      </c>
      <c r="F2" s="57" t="str">
        <f ca="1">IF(C2&lt;&gt;0,IF(COUNTIF('Per Ministero'!$A:$A,C2)&gt;0,"TROVATO","NON TROVATO"),"")</f>
        <v>TROVATO</v>
      </c>
      <c r="G2" s="58" t="str">
        <f t="shared" ref="G2:G33" ca="1" si="3">IF($D2&lt;&gt;"",VLOOKUP($B2, analysis_table_by_well_with_zero, 19, FALSE),"")</f>
        <v/>
      </c>
      <c r="H2" s="59" t="str">
        <f t="shared" ref="H2:H33" ca="1" si="4">IF($G2&lt;&gt;"",IF(VLOOKUP($G2, exam_result_to_message,2,FALSE)&lt;&gt;"", VLOOKUP($G2, exam_result_to_message,2,FALSE), ""),"")</f>
        <v/>
      </c>
      <c r="I2" s="60" t="str">
        <f ca="1">IF(G2&lt;&gt;"ERR",CODE128(H2),"")</f>
        <v/>
      </c>
    </row>
    <row r="3" spans="1:13" ht="52.5" customHeight="1" x14ac:dyDescent="0.15">
      <c r="A3" s="52" t="str">
        <f t="shared" si="0"/>
        <v/>
      </c>
      <c r="B3" s="53" t="s">
        <v>36</v>
      </c>
      <c r="C3" s="54" t="str">
        <f t="shared" ca="1" si="1"/>
        <v/>
      </c>
      <c r="D3" s="55" t="str">
        <f ca="1">IF(VLOOKUP($B3, analysis_table_by_well_with_zero, 18, FALSE),CODE128(VLOOKUP($B3, analysis_table_by_well_with_zero, 3, FALSE)),"")</f>
        <v/>
      </c>
      <c r="E3" s="56" t="str">
        <f t="shared" ca="1" si="2"/>
        <v/>
      </c>
      <c r="F3" s="57" t="str">
        <f ca="1">IF(C3&lt;&gt;0,IF(COUNTIF('Per Ministero'!$A:$A,C3)&gt;0,"TROVATO","NON TROVATO"),"")</f>
        <v>TROVATO</v>
      </c>
      <c r="G3" s="58" t="str">
        <f t="shared" ca="1" si="3"/>
        <v/>
      </c>
      <c r="H3" s="59" t="str">
        <f t="shared" ca="1" si="4"/>
        <v/>
      </c>
      <c r="I3" s="60" t="str">
        <f ca="1">IF(G3&lt;&gt;"ERR",CODE128(H3),"")</f>
        <v/>
      </c>
    </row>
    <row r="4" spans="1:13" ht="52.5" customHeight="1" x14ac:dyDescent="0.15">
      <c r="A4" s="52" t="str">
        <f t="shared" si="0"/>
        <v/>
      </c>
      <c r="B4" s="53" t="s">
        <v>39</v>
      </c>
      <c r="C4" s="54" t="str">
        <f t="shared" ca="1" si="1"/>
        <v/>
      </c>
      <c r="D4" s="55" t="str">
        <f ca="1">IF(VLOOKUP($B4, analysis_table_by_well_with_zero, 18, FALSE),CODE128(VLOOKUP($B4, analysis_table_by_well_with_zero, 3, FALSE)),"")</f>
        <v/>
      </c>
      <c r="E4" s="56" t="str">
        <f t="shared" ca="1" si="2"/>
        <v/>
      </c>
      <c r="F4" s="57" t="str">
        <f ca="1">IF(C4&lt;&gt;0,IF(COUNTIF('Per Ministero'!$A:$A,C4)&gt;0,"TROVATO","NON TROVATO"),"")</f>
        <v>TROVATO</v>
      </c>
      <c r="G4" s="58" t="str">
        <f t="shared" ca="1" si="3"/>
        <v/>
      </c>
      <c r="H4" s="59" t="str">
        <f t="shared" ca="1" si="4"/>
        <v/>
      </c>
      <c r="I4" s="60" t="str">
        <f ca="1">IF(G4&lt;&gt;"ERR",CODE128(H4),"")</f>
        <v/>
      </c>
    </row>
    <row r="5" spans="1:13" ht="52.5" customHeight="1" x14ac:dyDescent="0.15">
      <c r="A5" s="52" t="str">
        <f t="shared" si="0"/>
        <v/>
      </c>
      <c r="B5" s="53" t="s">
        <v>38</v>
      </c>
      <c r="C5" s="54" t="str">
        <f t="shared" ca="1" si="1"/>
        <v/>
      </c>
      <c r="D5" s="55" t="str">
        <f ca="1">IF(VLOOKUP($B5, analysis_table_by_well_with_zero, 18, FALSE),CODE128(VLOOKUP($B5, analysis_table_by_well_with_zero, 3, FALSE)),"")</f>
        <v/>
      </c>
      <c r="E5" s="56" t="str">
        <f t="shared" ca="1" si="2"/>
        <v/>
      </c>
      <c r="F5" s="57" t="str">
        <f ca="1">IF(C5&lt;&gt;0,IF(COUNTIF('Per Ministero'!$A:$A,C5)&gt;0,"TROVATO","NON TROVATO"),"")</f>
        <v>TROVATO</v>
      </c>
      <c r="G5" s="58" t="str">
        <f t="shared" ca="1" si="3"/>
        <v/>
      </c>
      <c r="H5" s="59" t="str">
        <f t="shared" ca="1" si="4"/>
        <v/>
      </c>
      <c r="I5" s="60" t="str">
        <f ca="1">IF(G5&lt;&gt;"ERR",CODE128(H5),"")</f>
        <v/>
      </c>
    </row>
    <row r="6" spans="1:13" ht="52.5" customHeight="1" x14ac:dyDescent="0.15">
      <c r="A6" s="52" t="str">
        <f t="shared" si="0"/>
        <v/>
      </c>
      <c r="B6" s="53" t="s">
        <v>46</v>
      </c>
      <c r="C6" s="54" t="str">
        <f t="shared" ca="1" si="1"/>
        <v/>
      </c>
      <c r="D6" s="55" t="str">
        <f ca="1">IF(VLOOKUP($B6, analysis_table_by_well_with_zero, 18, FALSE),CODE128(VLOOKUP($B6, analysis_table_by_well_with_zero, 3, FALSE)),"")</f>
        <v/>
      </c>
      <c r="E6" s="56" t="str">
        <f t="shared" ca="1" si="2"/>
        <v/>
      </c>
      <c r="F6" s="57" t="str">
        <f ca="1">IF(C6&lt;&gt;0,IF(COUNTIF('Per Ministero'!$A:$A,C6)&gt;0,"TROVATO","NON TROVATO"),"")</f>
        <v>TROVATO</v>
      </c>
      <c r="G6" s="58" t="str">
        <f t="shared" ca="1" si="3"/>
        <v/>
      </c>
      <c r="H6" s="59" t="str">
        <f t="shared" ca="1" si="4"/>
        <v/>
      </c>
      <c r="I6" s="60" t="str">
        <f ca="1">IF(G6&lt;&gt;"ERR",CODE128(H6),"")</f>
        <v/>
      </c>
    </row>
    <row r="7" spans="1:13" ht="52.5" customHeight="1" x14ac:dyDescent="0.15">
      <c r="A7" s="52" t="str">
        <f t="shared" si="0"/>
        <v/>
      </c>
      <c r="B7" s="53" t="s">
        <v>44</v>
      </c>
      <c r="C7" s="54" t="str">
        <f t="shared" ca="1" si="1"/>
        <v/>
      </c>
      <c r="D7" s="55" t="str">
        <f ca="1">IF(VLOOKUP($B7, analysis_table_by_well_with_zero, 18, FALSE),CODE128(VLOOKUP($B7, analysis_table_by_well_with_zero, 3, FALSE)),"")</f>
        <v/>
      </c>
      <c r="E7" s="56" t="str">
        <f t="shared" ca="1" si="2"/>
        <v/>
      </c>
      <c r="F7" s="57" t="str">
        <f ca="1">IF(C7&lt;&gt;0,IF(COUNTIF('Per Ministero'!$A:$A,C7)&gt;0,"TROVATO","NON TROVATO"),"")</f>
        <v>TROVATO</v>
      </c>
      <c r="G7" s="58" t="str">
        <f t="shared" ca="1" si="3"/>
        <v/>
      </c>
      <c r="H7" s="59" t="str">
        <f t="shared" ca="1" si="4"/>
        <v/>
      </c>
      <c r="I7" s="60" t="str">
        <f ca="1">IF(G7&lt;&gt;"ERR",CODE128(H7),"")</f>
        <v/>
      </c>
    </row>
    <row r="8" spans="1:13" ht="52.5" customHeight="1" x14ac:dyDescent="0.15">
      <c r="A8" s="52" t="str">
        <f t="shared" si="0"/>
        <v/>
      </c>
      <c r="B8" s="53" t="s">
        <v>47</v>
      </c>
      <c r="C8" s="54" t="str">
        <f t="shared" ca="1" si="1"/>
        <v/>
      </c>
      <c r="D8" s="55" t="str">
        <f ca="1">IF(VLOOKUP($B8, analysis_table_by_well_with_zero, 18, FALSE),CODE128(VLOOKUP($B8, analysis_table_by_well_with_zero, 3, FALSE)),"")</f>
        <v/>
      </c>
      <c r="E8" s="56" t="str">
        <f t="shared" ca="1" si="2"/>
        <v/>
      </c>
      <c r="F8" s="57" t="str">
        <f ca="1">IF(C8&lt;&gt;0,IF(COUNTIF('Per Ministero'!$A:$A,C8)&gt;0,"TROVATO","NON TROVATO"),"")</f>
        <v>TROVATO</v>
      </c>
      <c r="G8" s="58" t="str">
        <f t="shared" ca="1" si="3"/>
        <v/>
      </c>
      <c r="H8" s="59" t="str">
        <f t="shared" ca="1" si="4"/>
        <v/>
      </c>
      <c r="I8" s="60" t="str">
        <f ca="1">IF(G8&lt;&gt;"ERR",CODE128(H8),"")</f>
        <v/>
      </c>
    </row>
    <row r="9" spans="1:13" ht="52.5" customHeight="1" x14ac:dyDescent="0.15">
      <c r="A9" s="52" t="str">
        <f t="shared" si="0"/>
        <v/>
      </c>
      <c r="B9" s="53" t="s">
        <v>45</v>
      </c>
      <c r="C9" s="54" t="str">
        <f t="shared" ca="1" si="1"/>
        <v/>
      </c>
      <c r="D9" s="55" t="str">
        <f ca="1">IF(VLOOKUP($B9, analysis_table_by_well_with_zero, 18, FALSE),CODE128(VLOOKUP($B9, analysis_table_by_well_with_zero, 3, FALSE)),"")</f>
        <v/>
      </c>
      <c r="E9" s="56" t="str">
        <f t="shared" ca="1" si="2"/>
        <v/>
      </c>
      <c r="F9" s="57" t="str">
        <f ca="1">IF(C9&lt;&gt;0,IF(COUNTIF('Per Ministero'!$A:$A,C9)&gt;0,"TROVATO","NON TROVATO"),"")</f>
        <v>TROVATO</v>
      </c>
      <c r="G9" s="58" t="str">
        <f t="shared" ca="1" si="3"/>
        <v/>
      </c>
      <c r="H9" s="59" t="str">
        <f t="shared" ca="1" si="4"/>
        <v/>
      </c>
      <c r="I9" s="60" t="str">
        <f ca="1">IF(G9&lt;&gt;"ERR",CODE128(H9),"")</f>
        <v/>
      </c>
    </row>
    <row r="10" spans="1:13" ht="52.5" customHeight="1" x14ac:dyDescent="0.15">
      <c r="A10" s="52" t="str">
        <f t="shared" si="0"/>
        <v/>
      </c>
      <c r="B10" s="53" t="s">
        <v>37</v>
      </c>
      <c r="C10" s="54" t="str">
        <f t="shared" ca="1" si="1"/>
        <v/>
      </c>
      <c r="D10" s="55" t="str">
        <f ca="1">IF(VLOOKUP($B10, analysis_table_by_well_with_zero, 18, FALSE),CODE128(VLOOKUP($B10, analysis_table_by_well_with_zero, 3, FALSE)),"")</f>
        <v/>
      </c>
      <c r="E10" s="56" t="str">
        <f t="shared" ca="1" si="2"/>
        <v/>
      </c>
      <c r="F10" s="57" t="str">
        <f ca="1">IF(C10&lt;&gt;0,IF(COUNTIF('Per Ministero'!$A:$A,C10)&gt;0,"TROVATO","NON TROVATO"),"")</f>
        <v>TROVATO</v>
      </c>
      <c r="G10" s="58" t="str">
        <f t="shared" ca="1" si="3"/>
        <v/>
      </c>
      <c r="H10" s="59" t="str">
        <f t="shared" ca="1" si="4"/>
        <v/>
      </c>
      <c r="I10" s="60" t="str">
        <f ca="1">IF(G10&lt;&gt;"ERR",CODE128(H10),"")</f>
        <v/>
      </c>
    </row>
    <row r="11" spans="1:13" ht="52.5" customHeight="1" x14ac:dyDescent="0.15">
      <c r="A11" s="52" t="str">
        <f t="shared" si="0"/>
        <v/>
      </c>
      <c r="B11" s="53" t="s">
        <v>152</v>
      </c>
      <c r="C11" s="54" t="str">
        <f t="shared" ca="1" si="1"/>
        <v/>
      </c>
      <c r="D11" s="55" t="str">
        <f ca="1">IF(VLOOKUP($B11, analysis_table_by_well_with_zero, 18, FALSE),CODE128(VLOOKUP($B11, analysis_table_by_well_with_zero, 3, FALSE)),"")</f>
        <v/>
      </c>
      <c r="E11" s="56" t="str">
        <f t="shared" ca="1" si="2"/>
        <v/>
      </c>
      <c r="F11" s="57" t="str">
        <f ca="1">IF(C11&lt;&gt;0,IF(COUNTIF('Per Ministero'!$A:$A,C11)&gt;0,"TROVATO","NON TROVATO"),"")</f>
        <v>TROVATO</v>
      </c>
      <c r="G11" s="58" t="str">
        <f t="shared" ca="1" si="3"/>
        <v/>
      </c>
      <c r="H11" s="59" t="str">
        <f t="shared" ca="1" si="4"/>
        <v/>
      </c>
      <c r="I11" s="60" t="str">
        <f ca="1">IF(G11&lt;&gt;"ERR",CODE128(H11),"")</f>
        <v/>
      </c>
    </row>
    <row r="12" spans="1:13" ht="52.5" customHeight="1" x14ac:dyDescent="0.15">
      <c r="A12" s="52" t="str">
        <f t="shared" si="0"/>
        <v/>
      </c>
      <c r="B12" s="53" t="s">
        <v>48</v>
      </c>
      <c r="C12" s="54" t="str">
        <f t="shared" ca="1" si="1"/>
        <v/>
      </c>
      <c r="D12" s="55" t="str">
        <f ca="1">IF(VLOOKUP($B12, analysis_table_by_well_with_zero, 18, FALSE),CODE128(VLOOKUP($B12, analysis_table_by_well_with_zero, 3, FALSE)),"")</f>
        <v/>
      </c>
      <c r="E12" s="56" t="str">
        <f t="shared" ca="1" si="2"/>
        <v/>
      </c>
      <c r="F12" s="57" t="str">
        <f ca="1">IF(C12&lt;&gt;0,IF(COUNTIF('Per Ministero'!$A:$A,C12)&gt;0,"TROVATO","NON TROVATO"),"")</f>
        <v>TROVATO</v>
      </c>
      <c r="G12" s="58" t="str">
        <f t="shared" ca="1" si="3"/>
        <v/>
      </c>
      <c r="H12" s="59" t="str">
        <f t="shared" ca="1" si="4"/>
        <v/>
      </c>
      <c r="I12" s="60" t="str">
        <f ca="1">IF(G12&lt;&gt;"ERR",CODE128(H12),"")</f>
        <v/>
      </c>
    </row>
    <row r="13" spans="1:13" ht="52.5" customHeight="1" x14ac:dyDescent="0.15">
      <c r="A13" s="52" t="str">
        <f t="shared" si="0"/>
        <v/>
      </c>
      <c r="B13" s="53" t="s">
        <v>59</v>
      </c>
      <c r="C13" s="54" t="str">
        <f t="shared" ca="1" si="1"/>
        <v/>
      </c>
      <c r="D13" s="55" t="str">
        <f ca="1">IF(VLOOKUP($B13, analysis_table_by_well_with_zero, 18, FALSE),CODE128(VLOOKUP($B13, analysis_table_by_well_with_zero, 3, FALSE)),"")</f>
        <v/>
      </c>
      <c r="E13" s="56" t="str">
        <f t="shared" ca="1" si="2"/>
        <v/>
      </c>
      <c r="F13" s="57" t="str">
        <f ca="1">IF(C13&lt;&gt;0,IF(COUNTIF('Per Ministero'!$A:$A,C13)&gt;0,"TROVATO","NON TROVATO"),"")</f>
        <v>TROVATO</v>
      </c>
      <c r="G13" s="58" t="str">
        <f t="shared" ca="1" si="3"/>
        <v/>
      </c>
      <c r="H13" s="59" t="str">
        <f t="shared" ca="1" si="4"/>
        <v/>
      </c>
      <c r="I13" s="60" t="str">
        <f ca="1">IF(G13&lt;&gt;"ERR",CODE128(H13),"")</f>
        <v/>
      </c>
    </row>
    <row r="14" spans="1:13" ht="52.5" customHeight="1" x14ac:dyDescent="0.15">
      <c r="A14" s="52" t="str">
        <f t="shared" si="0"/>
        <v/>
      </c>
      <c r="B14" s="53" t="s">
        <v>156</v>
      </c>
      <c r="C14" s="54" t="str">
        <f t="shared" ca="1" si="1"/>
        <v/>
      </c>
      <c r="D14" s="55" t="str">
        <f ca="1">IF(VLOOKUP($B14, analysis_table_by_well_with_zero, 18, FALSE),CODE128(VLOOKUP($B14, analysis_table_by_well_with_zero, 3, FALSE)),"")</f>
        <v/>
      </c>
      <c r="E14" s="56" t="str">
        <f t="shared" ca="1" si="2"/>
        <v/>
      </c>
      <c r="F14" s="57" t="str">
        <f ca="1">IF(C14&lt;&gt;0,IF(COUNTIF('Per Ministero'!$A:$A,C14)&gt;0,"TROVATO","NON TROVATO"),"")</f>
        <v>TROVATO</v>
      </c>
      <c r="G14" s="58" t="str">
        <f t="shared" ca="1" si="3"/>
        <v/>
      </c>
      <c r="H14" s="59" t="str">
        <f t="shared" ca="1" si="4"/>
        <v/>
      </c>
      <c r="I14" s="60" t="str">
        <f ca="1">IF(G14&lt;&gt;"ERR",CODE128(H14),"")</f>
        <v/>
      </c>
    </row>
    <row r="15" spans="1:13" ht="52.5" customHeight="1" x14ac:dyDescent="0.15">
      <c r="A15" s="52" t="str">
        <f t="shared" si="0"/>
        <v/>
      </c>
      <c r="B15" s="53" t="s">
        <v>43</v>
      </c>
      <c r="C15" s="54" t="str">
        <f t="shared" ca="1" si="1"/>
        <v/>
      </c>
      <c r="D15" s="55" t="str">
        <f ca="1">IF(VLOOKUP($B15, analysis_table_by_well_with_zero, 18, FALSE),CODE128(VLOOKUP($B15, analysis_table_by_well_with_zero, 3, FALSE)),"")</f>
        <v/>
      </c>
      <c r="E15" s="56" t="str">
        <f t="shared" ca="1" si="2"/>
        <v/>
      </c>
      <c r="F15" s="57" t="str">
        <f ca="1">IF(C15&lt;&gt;0,IF(COUNTIF('Per Ministero'!$A:$A,C15)&gt;0,"TROVATO","NON TROVATO"),"")</f>
        <v>TROVATO</v>
      </c>
      <c r="G15" s="58" t="str">
        <f t="shared" ca="1" si="3"/>
        <v/>
      </c>
      <c r="H15" s="59" t="str">
        <f t="shared" ca="1" si="4"/>
        <v/>
      </c>
      <c r="I15" s="60" t="str">
        <f ca="1">IF(G15&lt;&gt;"ERR",CODE128(H15),"")</f>
        <v/>
      </c>
    </row>
    <row r="16" spans="1:13" ht="52.5" customHeight="1" x14ac:dyDescent="0.15">
      <c r="A16" s="52" t="str">
        <f t="shared" si="0"/>
        <v/>
      </c>
      <c r="B16" s="53" t="s">
        <v>51</v>
      </c>
      <c r="C16" s="54" t="str">
        <f t="shared" ca="1" si="1"/>
        <v/>
      </c>
      <c r="D16" s="55" t="str">
        <f ca="1">IF(VLOOKUP($B16, analysis_table_by_well_with_zero, 18, FALSE),CODE128(VLOOKUP($B16, analysis_table_by_well_with_zero, 3, FALSE)),"")</f>
        <v/>
      </c>
      <c r="E16" s="56" t="str">
        <f t="shared" ca="1" si="2"/>
        <v/>
      </c>
      <c r="F16" s="57" t="str">
        <f ca="1">IF(C16&lt;&gt;0,IF(COUNTIF('Per Ministero'!$A:$A,C16)&gt;0,"TROVATO","NON TROVATO"),"")</f>
        <v>TROVATO</v>
      </c>
      <c r="G16" s="58" t="str">
        <f t="shared" ca="1" si="3"/>
        <v/>
      </c>
      <c r="H16" s="59" t="str">
        <f t="shared" ca="1" si="4"/>
        <v/>
      </c>
      <c r="I16" s="60" t="str">
        <f ca="1">IF(G16&lt;&gt;"ERR",CODE128(H16),"")</f>
        <v/>
      </c>
    </row>
    <row r="17" spans="1:12" ht="52.5" customHeight="1" x14ac:dyDescent="0.15">
      <c r="A17" s="52" t="str">
        <f t="shared" si="0"/>
        <v/>
      </c>
      <c r="B17" s="53" t="s">
        <v>149</v>
      </c>
      <c r="C17" s="54" t="str">
        <f t="shared" ca="1" si="1"/>
        <v/>
      </c>
      <c r="D17" s="55" t="str">
        <f ca="1">IF(VLOOKUP($B17, analysis_table_by_well_with_zero, 18, FALSE),CODE128(VLOOKUP($B17, analysis_table_by_well_with_zero, 3, FALSE)),"")</f>
        <v/>
      </c>
      <c r="E17" s="56" t="str">
        <f t="shared" ca="1" si="2"/>
        <v/>
      </c>
      <c r="F17" s="57" t="str">
        <f ca="1">IF(C17&lt;&gt;0,IF(COUNTIF('Per Ministero'!$A:$A,C17)&gt;0,"TROVATO","NON TROVATO"),"")</f>
        <v>TROVATO</v>
      </c>
      <c r="G17" s="58" t="str">
        <f t="shared" ca="1" si="3"/>
        <v/>
      </c>
      <c r="H17" s="59" t="str">
        <f t="shared" ca="1" si="4"/>
        <v/>
      </c>
      <c r="I17" s="60" t="str">
        <f ca="1">IF(G17&lt;&gt;"ERR",CODE128(H17),"")</f>
        <v/>
      </c>
    </row>
    <row r="18" spans="1:12" ht="52.5" customHeight="1" x14ac:dyDescent="0.15">
      <c r="A18" s="52" t="str">
        <f t="shared" si="0"/>
        <v/>
      </c>
      <c r="B18" s="53" t="s">
        <v>50</v>
      </c>
      <c r="C18" s="54" t="str">
        <f t="shared" ca="1" si="1"/>
        <v/>
      </c>
      <c r="D18" s="55" t="str">
        <f ca="1">IF(VLOOKUP($B18, analysis_table_by_well_with_zero, 18, FALSE),CODE128(VLOOKUP($B18, analysis_table_by_well_with_zero, 3, FALSE)),"")</f>
        <v/>
      </c>
      <c r="E18" s="56" t="str">
        <f t="shared" ca="1" si="2"/>
        <v/>
      </c>
      <c r="F18" s="57" t="str">
        <f ca="1">IF(C18&lt;&gt;0,IF(COUNTIF('Per Ministero'!$A:$A,C18)&gt;0,"TROVATO","NON TROVATO"),"")</f>
        <v>TROVATO</v>
      </c>
      <c r="G18" s="58" t="str">
        <f t="shared" ca="1" si="3"/>
        <v/>
      </c>
      <c r="H18" s="59" t="str">
        <f t="shared" ca="1" si="4"/>
        <v/>
      </c>
      <c r="I18" s="60" t="str">
        <f ca="1">IF(G18&lt;&gt;"ERR",CODE128(H18),"")</f>
        <v/>
      </c>
    </row>
    <row r="19" spans="1:12" ht="52.5" customHeight="1" x14ac:dyDescent="0.15">
      <c r="A19" s="52" t="str">
        <f t="shared" si="0"/>
        <v/>
      </c>
      <c r="B19" s="53" t="s">
        <v>159</v>
      </c>
      <c r="C19" s="54" t="str">
        <f t="shared" ca="1" si="1"/>
        <v/>
      </c>
      <c r="D19" s="55" t="str">
        <f ca="1">IF(VLOOKUP($B19, analysis_table_by_well_with_zero, 18, FALSE),CODE128(VLOOKUP($B19, analysis_table_by_well_with_zero, 3, FALSE)),"")</f>
        <v/>
      </c>
      <c r="E19" s="56" t="str">
        <f t="shared" ca="1" si="2"/>
        <v/>
      </c>
      <c r="F19" s="57" t="str">
        <f ca="1">IF(C19&lt;&gt;0,IF(COUNTIF('Per Ministero'!$A:$A,C19)&gt;0,"TROVATO","NON TROVATO"),"")</f>
        <v>TROVATO</v>
      </c>
      <c r="G19" s="58" t="str">
        <f t="shared" ca="1" si="3"/>
        <v/>
      </c>
      <c r="H19" s="59" t="str">
        <f t="shared" ca="1" si="4"/>
        <v/>
      </c>
      <c r="I19" s="60" t="str">
        <f ca="1">IF(G19&lt;&gt;"ERR",CODE128(H19),"")</f>
        <v/>
      </c>
    </row>
    <row r="20" spans="1:12" ht="52.5" customHeight="1" x14ac:dyDescent="0.15">
      <c r="A20" s="52" t="str">
        <f t="shared" si="0"/>
        <v/>
      </c>
      <c r="B20" s="53" t="s">
        <v>144</v>
      </c>
      <c r="C20" s="54" t="str">
        <f t="shared" ca="1" si="1"/>
        <v/>
      </c>
      <c r="D20" s="55" t="str">
        <f ca="1">IF(VLOOKUP($B20, analysis_table_by_well_with_zero, 18, FALSE),CODE128(VLOOKUP($B20, analysis_table_by_well_with_zero, 3, FALSE)),"")</f>
        <v/>
      </c>
      <c r="E20" s="56" t="str">
        <f t="shared" ca="1" si="2"/>
        <v/>
      </c>
      <c r="F20" s="57" t="str">
        <f ca="1">IF(C20&lt;&gt;0,IF(COUNTIF('Per Ministero'!$A:$A,C20)&gt;0,"TROVATO","NON TROVATO"),"")</f>
        <v>TROVATO</v>
      </c>
      <c r="G20" s="58" t="str">
        <f t="shared" ca="1" si="3"/>
        <v/>
      </c>
      <c r="H20" s="59" t="str">
        <f t="shared" ca="1" si="4"/>
        <v/>
      </c>
      <c r="I20" s="60" t="str">
        <f ca="1">IF(G20&lt;&gt;"ERR",CODE128(H20),"")</f>
        <v/>
      </c>
    </row>
    <row r="21" spans="1:12" ht="52.5" customHeight="1" x14ac:dyDescent="0.15">
      <c r="A21" s="52" t="str">
        <f t="shared" si="0"/>
        <v/>
      </c>
      <c r="B21" s="53" t="s">
        <v>157</v>
      </c>
      <c r="C21" s="54" t="str">
        <f t="shared" ca="1" si="1"/>
        <v/>
      </c>
      <c r="D21" s="55" t="str">
        <f ca="1">IF(VLOOKUP($B21, analysis_table_by_well_with_zero, 18, FALSE),CODE128(VLOOKUP($B21, analysis_table_by_well_with_zero, 3, FALSE)),"")</f>
        <v/>
      </c>
      <c r="E21" s="56" t="str">
        <f t="shared" ca="1" si="2"/>
        <v/>
      </c>
      <c r="F21" s="57" t="str">
        <f ca="1">IF(C21&lt;&gt;0,IF(COUNTIF('Per Ministero'!$A:$A,C21)&gt;0,"TROVATO","NON TROVATO"),"")</f>
        <v>TROVATO</v>
      </c>
      <c r="G21" s="58" t="str">
        <f t="shared" ca="1" si="3"/>
        <v/>
      </c>
      <c r="H21" s="59" t="str">
        <f t="shared" ca="1" si="4"/>
        <v/>
      </c>
      <c r="I21" s="60" t="str">
        <f ca="1">IF(G21&lt;&gt;"ERR",CODE128(H21),"")</f>
        <v/>
      </c>
    </row>
    <row r="22" spans="1:12" ht="52.5" customHeight="1" x14ac:dyDescent="0.15">
      <c r="A22" s="52" t="str">
        <f t="shared" si="0"/>
        <v/>
      </c>
      <c r="B22" s="53" t="s">
        <v>151</v>
      </c>
      <c r="C22" s="54" t="str">
        <f t="shared" ca="1" si="1"/>
        <v/>
      </c>
      <c r="D22" s="55" t="str">
        <f ca="1">IF(VLOOKUP($B22, analysis_table_by_well_with_zero, 18, FALSE),CODE128(VLOOKUP($B22, analysis_table_by_well_with_zero, 3, FALSE)),"")</f>
        <v/>
      </c>
      <c r="E22" s="56" t="str">
        <f t="shared" ca="1" si="2"/>
        <v/>
      </c>
      <c r="F22" s="57" t="str">
        <f ca="1">IF(C22&lt;&gt;0,IF(COUNTIF('Per Ministero'!$A:$A,C22)&gt;0,"TROVATO","NON TROVATO"),"")</f>
        <v>TROVATO</v>
      </c>
      <c r="G22" s="58" t="str">
        <f t="shared" ca="1" si="3"/>
        <v/>
      </c>
      <c r="H22" s="59" t="str">
        <f t="shared" ca="1" si="4"/>
        <v/>
      </c>
      <c r="I22" s="60" t="str">
        <f ca="1">IF(G22&lt;&gt;"ERR",CODE128(H22),"")</f>
        <v/>
      </c>
    </row>
    <row r="23" spans="1:12" ht="52.5" customHeight="1" x14ac:dyDescent="0.15">
      <c r="A23" s="52" t="str">
        <f t="shared" si="0"/>
        <v/>
      </c>
      <c r="B23" s="53" t="s">
        <v>143</v>
      </c>
      <c r="C23" s="54" t="str">
        <f t="shared" ca="1" si="1"/>
        <v/>
      </c>
      <c r="D23" s="55" t="str">
        <f ca="1">IF(VLOOKUP($B23, analysis_table_by_well_with_zero, 18, FALSE),CODE128(VLOOKUP($B23, analysis_table_by_well_with_zero, 3, FALSE)),"")</f>
        <v/>
      </c>
      <c r="E23" s="56" t="str">
        <f t="shared" ca="1" si="2"/>
        <v/>
      </c>
      <c r="F23" s="57" t="str">
        <f ca="1">IF(C23&lt;&gt;0,IF(COUNTIF('Per Ministero'!$A:$A,C23)&gt;0,"TROVATO","NON TROVATO"),"")</f>
        <v>TROVATO</v>
      </c>
      <c r="G23" s="58" t="str">
        <f t="shared" ca="1" si="3"/>
        <v/>
      </c>
      <c r="H23" s="59" t="str">
        <f t="shared" ca="1" si="4"/>
        <v/>
      </c>
      <c r="I23" s="60" t="str">
        <f ca="1">IF(G23&lt;&gt;"ERR",CODE128(H23),"")</f>
        <v/>
      </c>
    </row>
    <row r="24" spans="1:12" ht="52.5" customHeight="1" x14ac:dyDescent="0.15">
      <c r="A24" s="52" t="str">
        <f t="shared" si="0"/>
        <v/>
      </c>
      <c r="B24" s="53" t="s">
        <v>22</v>
      </c>
      <c r="C24" s="54" t="str">
        <f t="shared" ca="1" si="1"/>
        <v/>
      </c>
      <c r="D24" s="55" t="str">
        <f ca="1">IF(VLOOKUP($B24, analysis_table_by_well_with_zero, 18, FALSE),CODE128(VLOOKUP($B24, analysis_table_by_well_with_zero, 3, FALSE)),"")</f>
        <v/>
      </c>
      <c r="E24" s="56" t="str">
        <f t="shared" ca="1" si="2"/>
        <v/>
      </c>
      <c r="F24" s="57" t="str">
        <f ca="1">IF(C24&lt;&gt;0,IF(COUNTIF('Per Ministero'!$A:$A,C24)&gt;0,"TROVATO","NON TROVATO"),"")</f>
        <v>TROVATO</v>
      </c>
      <c r="G24" s="58" t="str">
        <f t="shared" ca="1" si="3"/>
        <v/>
      </c>
      <c r="H24" s="59" t="str">
        <f t="shared" ca="1" si="4"/>
        <v/>
      </c>
      <c r="I24" s="60" t="str">
        <f ca="1">IF(G24&lt;&gt;"ERR",CODE128(H24),"")</f>
        <v/>
      </c>
    </row>
    <row r="25" spans="1:12" ht="52.5" customHeight="1" x14ac:dyDescent="0.15">
      <c r="A25" s="52" t="str">
        <f t="shared" si="0"/>
        <v/>
      </c>
      <c r="B25" s="53" t="s">
        <v>146</v>
      </c>
      <c r="C25" s="54" t="str">
        <f t="shared" ca="1" si="1"/>
        <v/>
      </c>
      <c r="D25" s="55" t="str">
        <f ca="1">IF(VLOOKUP($B25, analysis_table_by_well_with_zero, 18, FALSE),CODE128(VLOOKUP($B25, analysis_table_by_well_with_zero, 3, FALSE)),"")</f>
        <v/>
      </c>
      <c r="E25" s="56" t="str">
        <f t="shared" ca="1" si="2"/>
        <v/>
      </c>
      <c r="F25" s="57" t="str">
        <f ca="1">IF(C25&lt;&gt;0,IF(COUNTIF('Per Ministero'!$A:$A,C25)&gt;0,"TROVATO","NON TROVATO"),"")</f>
        <v>TROVATO</v>
      </c>
      <c r="G25" s="58" t="str">
        <f t="shared" ca="1" si="3"/>
        <v/>
      </c>
      <c r="H25" s="59" t="str">
        <f t="shared" ca="1" si="4"/>
        <v/>
      </c>
      <c r="I25" s="60" t="str">
        <f ca="1">IF(G25&lt;&gt;"ERR",CODE128(H25),"")</f>
        <v/>
      </c>
    </row>
    <row r="26" spans="1:12" ht="52.5" customHeight="1" x14ac:dyDescent="0.15">
      <c r="A26" s="52" t="str">
        <f t="shared" si="0"/>
        <v/>
      </c>
      <c r="B26" s="53" t="s">
        <v>34</v>
      </c>
      <c r="C26" s="54" t="str">
        <f t="shared" ca="1" si="1"/>
        <v/>
      </c>
      <c r="D26" s="55" t="str">
        <f ca="1">IF(VLOOKUP($B26, analysis_table_by_well_with_zero, 18, FALSE),CODE128(VLOOKUP($B26, analysis_table_by_well_with_zero, 3, FALSE)),"")</f>
        <v/>
      </c>
      <c r="E26" s="56" t="str">
        <f t="shared" ca="1" si="2"/>
        <v/>
      </c>
      <c r="F26" s="57" t="str">
        <f ca="1">IF(C26&lt;&gt;0,IF(COUNTIF('Per Ministero'!$A:$A,C26)&gt;0,"TROVATO","NON TROVATO"),"")</f>
        <v>TROVATO</v>
      </c>
      <c r="G26" s="58" t="str">
        <f t="shared" ca="1" si="3"/>
        <v/>
      </c>
      <c r="H26" s="59" t="str">
        <f t="shared" ca="1" si="4"/>
        <v/>
      </c>
      <c r="I26" s="60" t="str">
        <f ca="1">IF(G26&lt;&gt;"ERR",CODE128(H26),"")</f>
        <v/>
      </c>
    </row>
    <row r="27" spans="1:12" ht="52.5" customHeight="1" x14ac:dyDescent="0.15">
      <c r="A27" s="52" t="str">
        <f t="shared" si="0"/>
        <v/>
      </c>
      <c r="B27" s="53" t="s">
        <v>65</v>
      </c>
      <c r="C27" s="54" t="str">
        <f t="shared" ca="1" si="1"/>
        <v/>
      </c>
      <c r="D27" s="55" t="str">
        <f ca="1">IF(VLOOKUP($B27, analysis_table_by_well_with_zero, 18, FALSE),CODE128(VLOOKUP($B27, analysis_table_by_well_with_zero, 3, FALSE)),"")</f>
        <v/>
      </c>
      <c r="E27" s="56" t="str">
        <f t="shared" ca="1" si="2"/>
        <v/>
      </c>
      <c r="F27" s="57" t="str">
        <f ca="1">IF(C27&lt;&gt;0,IF(COUNTIF('Per Ministero'!$A:$A,C27)&gt;0,"TROVATO","NON TROVATO"),"")</f>
        <v>TROVATO</v>
      </c>
      <c r="G27" s="58" t="str">
        <f t="shared" ca="1" si="3"/>
        <v/>
      </c>
      <c r="H27" s="59" t="str">
        <f t="shared" ca="1" si="4"/>
        <v/>
      </c>
      <c r="I27" s="60" t="str">
        <f ca="1">IF(G27&lt;&gt;"ERR",CODE128(H27),"")</f>
        <v/>
      </c>
    </row>
    <row r="28" spans="1:12" ht="52.5" customHeight="1" x14ac:dyDescent="0.15">
      <c r="A28" s="52" t="str">
        <f t="shared" si="0"/>
        <v/>
      </c>
      <c r="B28" s="53" t="s">
        <v>24</v>
      </c>
      <c r="C28" s="54" t="str">
        <f t="shared" ca="1" si="1"/>
        <v/>
      </c>
      <c r="D28" s="55" t="str">
        <f ca="1">IF(VLOOKUP($B28, analysis_table_by_well_with_zero, 18, FALSE),CODE128(VLOOKUP($B28, analysis_table_by_well_with_zero, 3, FALSE)),"")</f>
        <v/>
      </c>
      <c r="E28" s="56" t="str">
        <f t="shared" ca="1" si="2"/>
        <v/>
      </c>
      <c r="F28" s="57" t="str">
        <f ca="1">IF(C28&lt;&gt;0,IF(COUNTIF('Per Ministero'!$A:$A,C28)&gt;0,"TROVATO","NON TROVATO"),"")</f>
        <v>TROVATO</v>
      </c>
      <c r="G28" s="58" t="str">
        <f t="shared" ca="1" si="3"/>
        <v/>
      </c>
      <c r="H28" s="59" t="str">
        <f t="shared" ca="1" si="4"/>
        <v/>
      </c>
      <c r="I28" s="60" t="str">
        <f ca="1">IF(G28&lt;&gt;"ERR",CODE128(H28),"")</f>
        <v/>
      </c>
    </row>
    <row r="29" spans="1:12" ht="52.5" customHeight="1" x14ac:dyDescent="0.15">
      <c r="A29" s="52" t="str">
        <f t="shared" si="0"/>
        <v/>
      </c>
      <c r="B29" s="53" t="s">
        <v>25</v>
      </c>
      <c r="C29" s="54" t="str">
        <f t="shared" ca="1" si="1"/>
        <v/>
      </c>
      <c r="D29" s="55" t="str">
        <f ca="1">IF(VLOOKUP($B29, analysis_table_by_well_with_zero, 18, FALSE),CODE128(VLOOKUP($B29, analysis_table_by_well_with_zero, 3, FALSE)),"")</f>
        <v/>
      </c>
      <c r="E29" s="56" t="str">
        <f t="shared" ca="1" si="2"/>
        <v/>
      </c>
      <c r="F29" s="57" t="str">
        <f ca="1">IF(C29&lt;&gt;0,IF(COUNTIF('Per Ministero'!$A:$A,C29)&gt;0,"TROVATO","NON TROVATO"),"")</f>
        <v>TROVATO</v>
      </c>
      <c r="G29" s="58" t="str">
        <f t="shared" ca="1" si="3"/>
        <v/>
      </c>
      <c r="H29" s="59" t="str">
        <f t="shared" ca="1" si="4"/>
        <v/>
      </c>
      <c r="I29" s="60" t="str">
        <f ca="1">IF(G29&lt;&gt;"ERR",CODE128(H29),"")</f>
        <v/>
      </c>
    </row>
    <row r="30" spans="1:12" ht="52.5" customHeight="1" x14ac:dyDescent="0.15">
      <c r="A30" s="52" t="str">
        <f t="shared" si="0"/>
        <v/>
      </c>
      <c r="B30" s="53" t="s">
        <v>66</v>
      </c>
      <c r="C30" s="54" t="str">
        <f t="shared" ca="1" si="1"/>
        <v/>
      </c>
      <c r="D30" s="55" t="str">
        <f ca="1">IF(VLOOKUP($B30, analysis_table_by_well_with_zero, 18, FALSE),CODE128(VLOOKUP($B30, analysis_table_by_well_with_zero, 3, FALSE)),"")</f>
        <v/>
      </c>
      <c r="E30" s="56" t="str">
        <f t="shared" ca="1" si="2"/>
        <v/>
      </c>
      <c r="F30" s="57" t="str">
        <f ca="1">IF(C30&lt;&gt;0,IF(COUNTIF('Per Ministero'!$A:$A,C30)&gt;0,"TROVATO","NON TROVATO"),"")</f>
        <v>TROVATO</v>
      </c>
      <c r="G30" s="58" t="str">
        <f t="shared" ca="1" si="3"/>
        <v/>
      </c>
      <c r="H30" s="59" t="str">
        <f t="shared" ca="1" si="4"/>
        <v/>
      </c>
      <c r="I30" s="60" t="str">
        <f ca="1">IF(G30&lt;&gt;"ERR",CODE128(H30),"")</f>
        <v/>
      </c>
    </row>
    <row r="31" spans="1:12" ht="52.5" customHeight="1" x14ac:dyDescent="0.15">
      <c r="A31" s="52" t="str">
        <f t="shared" si="0"/>
        <v/>
      </c>
      <c r="B31" s="53" t="s">
        <v>41</v>
      </c>
      <c r="C31" s="54" t="str">
        <f t="shared" ca="1" si="1"/>
        <v/>
      </c>
      <c r="D31" s="55" t="str">
        <f ca="1">IF(VLOOKUP($B31, analysis_table_by_well_with_zero, 18, FALSE),CODE128(VLOOKUP($B31, analysis_table_by_well_with_zero, 3, FALSE)),"")</f>
        <v/>
      </c>
      <c r="E31" s="56" t="str">
        <f t="shared" ca="1" si="2"/>
        <v/>
      </c>
      <c r="F31" s="57" t="str">
        <f ca="1">IF(C31&lt;&gt;0,IF(COUNTIF('Per Ministero'!$A:$A,C31)&gt;0,"TROVATO","NON TROVATO"),"")</f>
        <v>TROVATO</v>
      </c>
      <c r="G31" s="58" t="str">
        <f t="shared" ca="1" si="3"/>
        <v/>
      </c>
      <c r="H31" s="59" t="str">
        <f t="shared" ca="1" si="4"/>
        <v/>
      </c>
      <c r="I31" s="60" t="str">
        <f ca="1">IF(G31&lt;&gt;"ERR",CODE128(H31),"")</f>
        <v/>
      </c>
      <c r="L31" s="62"/>
    </row>
    <row r="32" spans="1:12" ht="52.5" customHeight="1" x14ac:dyDescent="0.15">
      <c r="A32" s="52" t="str">
        <f t="shared" si="0"/>
        <v/>
      </c>
      <c r="B32" s="53" t="s">
        <v>9</v>
      </c>
      <c r="C32" s="54" t="str">
        <f t="shared" ca="1" si="1"/>
        <v/>
      </c>
      <c r="D32" s="55" t="str">
        <f ca="1">IF(VLOOKUP($B32, analysis_table_by_well_with_zero, 18, FALSE),CODE128(VLOOKUP($B32, analysis_table_by_well_with_zero, 3, FALSE)),"")</f>
        <v/>
      </c>
      <c r="E32" s="56" t="str">
        <f t="shared" ca="1" si="2"/>
        <v/>
      </c>
      <c r="F32" s="57" t="str">
        <f ca="1">IF(C32&lt;&gt;0,IF(COUNTIF('Per Ministero'!$A:$A,C32)&gt;0,"TROVATO","NON TROVATO"),"")</f>
        <v>TROVATO</v>
      </c>
      <c r="G32" s="58" t="str">
        <f t="shared" ca="1" si="3"/>
        <v/>
      </c>
      <c r="H32" s="59" t="str">
        <f t="shared" ca="1" si="4"/>
        <v/>
      </c>
      <c r="I32" s="60" t="str">
        <f ca="1">IF(G32&lt;&gt;"ERR",CODE128(H32),"")</f>
        <v/>
      </c>
    </row>
    <row r="33" spans="1:9" ht="52.5" customHeight="1" x14ac:dyDescent="0.15">
      <c r="A33" s="52" t="str">
        <f t="shared" si="0"/>
        <v/>
      </c>
      <c r="B33" s="53" t="s">
        <v>17</v>
      </c>
      <c r="C33" s="54" t="str">
        <f t="shared" ca="1" si="1"/>
        <v/>
      </c>
      <c r="D33" s="55" t="str">
        <f ca="1">IF(VLOOKUP($B33, analysis_table_by_well_with_zero, 18, FALSE),CODE128(VLOOKUP($B33, analysis_table_by_well_with_zero, 3, FALSE)),"")</f>
        <v/>
      </c>
      <c r="E33" s="56" t="str">
        <f t="shared" ca="1" si="2"/>
        <v/>
      </c>
      <c r="F33" s="57" t="str">
        <f ca="1">IF(C33&lt;&gt;0,IF(COUNTIF('Per Ministero'!$A:$A,C33)&gt;0,"TROVATO","NON TROVATO"),"")</f>
        <v>TROVATO</v>
      </c>
      <c r="G33" s="58" t="str">
        <f t="shared" ca="1" si="3"/>
        <v/>
      </c>
      <c r="H33" s="59" t="str">
        <f t="shared" ca="1" si="4"/>
        <v/>
      </c>
      <c r="I33" s="60" t="str">
        <f ca="1">IF(G33&lt;&gt;"ERR",CODE128(H33),"")</f>
        <v/>
      </c>
    </row>
    <row r="34" spans="1:9" ht="52.5" customHeight="1" x14ac:dyDescent="0.15">
      <c r="A34" s="52" t="str">
        <f t="shared" ref="A34:A65" si="5">VLOOKUP($B34, analysis_table_by_well_with_zero, 2, FALSE)</f>
        <v/>
      </c>
      <c r="B34" s="53" t="s">
        <v>20</v>
      </c>
      <c r="C34" s="54" t="str">
        <f t="shared" ref="C34:C65" ca="1" si="6">VLOOKUP($B34, analysis_table_by_well_with_zero, 3, FALSE)</f>
        <v/>
      </c>
      <c r="D34" s="55" t="str">
        <f ca="1">IF(VLOOKUP($B34, analysis_table_by_well_with_zero, 18, FALSE),CODE128(VLOOKUP($B34, analysis_table_by_well_with_zero, 3, FALSE)),"")</f>
        <v/>
      </c>
      <c r="E34" s="56" t="str">
        <f t="shared" ref="E34:E65" ca="1" si="7">IF($D34&lt;&gt;"",VLOOKUP($B34, analysis_table_by_well_with_zero, 17, FALSE),"")</f>
        <v/>
      </c>
      <c r="F34" s="57" t="str">
        <f ca="1">IF(C34&lt;&gt;0,IF(COUNTIF('Per Ministero'!$A:$A,C34)&gt;0,"TROVATO","NON TROVATO"),"")</f>
        <v>TROVATO</v>
      </c>
      <c r="G34" s="58" t="str">
        <f t="shared" ref="G34:G65" ca="1" si="8">IF($D34&lt;&gt;"",VLOOKUP($B34, analysis_table_by_well_with_zero, 19, FALSE),"")</f>
        <v/>
      </c>
      <c r="H34" s="59" t="str">
        <f t="shared" ref="H34:H65" ca="1" si="9">IF($G34&lt;&gt;"",IF(VLOOKUP($G34, exam_result_to_message,2,FALSE)&lt;&gt;"", VLOOKUP($G34, exam_result_to_message,2,FALSE), ""),"")</f>
        <v/>
      </c>
      <c r="I34" s="60" t="str">
        <f ca="1">IF(G34&lt;&gt;"ERR",CODE128(H34),"")</f>
        <v/>
      </c>
    </row>
    <row r="35" spans="1:9" ht="52.5" customHeight="1" x14ac:dyDescent="0.15">
      <c r="A35" s="52" t="str">
        <f t="shared" si="5"/>
        <v/>
      </c>
      <c r="B35" s="53" t="s">
        <v>21</v>
      </c>
      <c r="C35" s="54" t="str">
        <f t="shared" ca="1" si="6"/>
        <v/>
      </c>
      <c r="D35" s="55" t="str">
        <f ca="1">IF(VLOOKUP($B35, analysis_table_by_well_with_zero, 18, FALSE),CODE128(VLOOKUP($B35, analysis_table_by_well_with_zero, 3, FALSE)),"")</f>
        <v/>
      </c>
      <c r="E35" s="56" t="str">
        <f t="shared" ca="1" si="7"/>
        <v/>
      </c>
      <c r="F35" s="57" t="str">
        <f ca="1">IF(C35&lt;&gt;0,IF(COUNTIF('Per Ministero'!$A:$A,C35)&gt;0,"TROVATO","NON TROVATO"),"")</f>
        <v>TROVATO</v>
      </c>
      <c r="G35" s="58" t="str">
        <f t="shared" ca="1" si="8"/>
        <v/>
      </c>
      <c r="H35" s="59" t="str">
        <f t="shared" ca="1" si="9"/>
        <v/>
      </c>
      <c r="I35" s="60" t="str">
        <f ca="1">IF(G35&lt;&gt;"ERR",CODE128(H35),"")</f>
        <v/>
      </c>
    </row>
    <row r="36" spans="1:9" ht="52.5" customHeight="1" x14ac:dyDescent="0.15">
      <c r="A36" s="52" t="str">
        <f t="shared" si="5"/>
        <v/>
      </c>
      <c r="B36" s="53" t="s">
        <v>13</v>
      </c>
      <c r="C36" s="54" t="str">
        <f t="shared" ca="1" si="6"/>
        <v/>
      </c>
      <c r="D36" s="55" t="str">
        <f ca="1">IF(VLOOKUP($B36, analysis_table_by_well_with_zero, 18, FALSE),CODE128(VLOOKUP($B36, analysis_table_by_well_with_zero, 3, FALSE)),"")</f>
        <v/>
      </c>
      <c r="E36" s="56" t="str">
        <f t="shared" ca="1" si="7"/>
        <v/>
      </c>
      <c r="F36" s="57" t="str">
        <f ca="1">IF(C36&lt;&gt;0,IF(COUNTIF('Per Ministero'!$A:$A,C36)&gt;0,"TROVATO","NON TROVATO"),"")</f>
        <v>TROVATO</v>
      </c>
      <c r="G36" s="58" t="str">
        <f t="shared" ca="1" si="8"/>
        <v/>
      </c>
      <c r="H36" s="59" t="str">
        <f t="shared" ca="1" si="9"/>
        <v/>
      </c>
      <c r="I36" s="60" t="str">
        <f ca="1">IF(G36&lt;&gt;"ERR",CODE128(H36),"")</f>
        <v/>
      </c>
    </row>
    <row r="37" spans="1:9" ht="52.5" customHeight="1" x14ac:dyDescent="0.15">
      <c r="A37" s="52" t="str">
        <f t="shared" si="5"/>
        <v/>
      </c>
      <c r="B37" s="53" t="s">
        <v>147</v>
      </c>
      <c r="C37" s="54" t="str">
        <f t="shared" ca="1" si="6"/>
        <v/>
      </c>
      <c r="D37" s="55" t="str">
        <f ca="1">IF(VLOOKUP($B37, analysis_table_by_well_with_zero, 18, FALSE),CODE128(VLOOKUP($B37, analysis_table_by_well_with_zero, 3, FALSE)),"")</f>
        <v/>
      </c>
      <c r="E37" s="56" t="str">
        <f t="shared" ca="1" si="7"/>
        <v/>
      </c>
      <c r="F37" s="57" t="str">
        <f ca="1">IF(C37&lt;&gt;0,IF(COUNTIF('Per Ministero'!$A:$A,C37)&gt;0,"TROVATO","NON TROVATO"),"")</f>
        <v>TROVATO</v>
      </c>
      <c r="G37" s="58" t="str">
        <f t="shared" ca="1" si="8"/>
        <v/>
      </c>
      <c r="H37" s="59" t="str">
        <f t="shared" ca="1" si="9"/>
        <v/>
      </c>
      <c r="I37" s="60" t="str">
        <f ca="1">IF(G37&lt;&gt;"ERR",CODE128(H37),"")</f>
        <v/>
      </c>
    </row>
    <row r="38" spans="1:9" ht="52.5" customHeight="1" x14ac:dyDescent="0.15">
      <c r="A38" s="52" t="str">
        <f t="shared" si="5"/>
        <v/>
      </c>
      <c r="B38" s="53" t="s">
        <v>23</v>
      </c>
      <c r="C38" s="54" t="str">
        <f t="shared" ca="1" si="6"/>
        <v/>
      </c>
      <c r="D38" s="55" t="str">
        <f ca="1">IF(VLOOKUP($B38, analysis_table_by_well_with_zero, 18, FALSE),CODE128(VLOOKUP($B38, analysis_table_by_well_with_zero, 3, FALSE)),"")</f>
        <v/>
      </c>
      <c r="E38" s="56" t="str">
        <f t="shared" ca="1" si="7"/>
        <v/>
      </c>
      <c r="F38" s="57" t="str">
        <f ca="1">IF(C38&lt;&gt;0,IF(COUNTIF('Per Ministero'!$A:$A,C38)&gt;0,"TROVATO","NON TROVATO"),"")</f>
        <v>TROVATO</v>
      </c>
      <c r="G38" s="58" t="str">
        <f t="shared" ca="1" si="8"/>
        <v/>
      </c>
      <c r="H38" s="59" t="str">
        <f t="shared" ca="1" si="9"/>
        <v/>
      </c>
      <c r="I38" s="60" t="str">
        <f ca="1">IF(G38&lt;&gt;"ERR",CODE128(H38),"")</f>
        <v/>
      </c>
    </row>
    <row r="39" spans="1:9" ht="52.5" customHeight="1" x14ac:dyDescent="0.15">
      <c r="A39" s="52" t="str">
        <f t="shared" si="5"/>
        <v/>
      </c>
      <c r="B39" s="53" t="s">
        <v>142</v>
      </c>
      <c r="C39" s="54" t="str">
        <f t="shared" ca="1" si="6"/>
        <v/>
      </c>
      <c r="D39" s="55" t="str">
        <f ca="1">IF(VLOOKUP($B39, analysis_table_by_well_with_zero, 18, FALSE),CODE128(VLOOKUP($B39, analysis_table_by_well_with_zero, 3, FALSE)),"")</f>
        <v/>
      </c>
      <c r="E39" s="56" t="str">
        <f t="shared" ca="1" si="7"/>
        <v/>
      </c>
      <c r="F39" s="57" t="str">
        <f ca="1">IF(C39&lt;&gt;0,IF(COUNTIF('Per Ministero'!$A:$A,C39)&gt;0,"TROVATO","NON TROVATO"),"")</f>
        <v>TROVATO</v>
      </c>
      <c r="G39" s="58" t="str">
        <f t="shared" ca="1" si="8"/>
        <v/>
      </c>
      <c r="H39" s="59" t="str">
        <f t="shared" ca="1" si="9"/>
        <v/>
      </c>
      <c r="I39" s="60" t="str">
        <f ca="1">IF(G39&lt;&gt;"ERR",CODE128(H39),"")</f>
        <v/>
      </c>
    </row>
    <row r="40" spans="1:9" ht="52.5" customHeight="1" x14ac:dyDescent="0.15">
      <c r="A40" s="52" t="str">
        <f t="shared" si="5"/>
        <v/>
      </c>
      <c r="B40" s="53" t="s">
        <v>155</v>
      </c>
      <c r="C40" s="54" t="str">
        <f t="shared" ca="1" si="6"/>
        <v/>
      </c>
      <c r="D40" s="55" t="str">
        <f ca="1">IF(VLOOKUP($B40, analysis_table_by_well_with_zero, 18, FALSE),CODE128(VLOOKUP($B40, analysis_table_by_well_with_zero, 3, FALSE)),"")</f>
        <v/>
      </c>
      <c r="E40" s="56" t="str">
        <f t="shared" ca="1" si="7"/>
        <v/>
      </c>
      <c r="F40" s="57" t="str">
        <f ca="1">IF(C40&lt;&gt;0,IF(COUNTIF('Per Ministero'!$A:$A,C40)&gt;0,"TROVATO","NON TROVATO"),"")</f>
        <v>TROVATO</v>
      </c>
      <c r="G40" s="58" t="str">
        <f t="shared" ca="1" si="8"/>
        <v/>
      </c>
      <c r="H40" s="59" t="str">
        <f t="shared" ca="1" si="9"/>
        <v/>
      </c>
      <c r="I40" s="60" t="str">
        <f ca="1">IF(G40&lt;&gt;"ERR",CODE128(H40),"")</f>
        <v/>
      </c>
    </row>
    <row r="41" spans="1:9" ht="52.5" customHeight="1" x14ac:dyDescent="0.15">
      <c r="A41" s="52" t="str">
        <f t="shared" si="5"/>
        <v/>
      </c>
      <c r="B41" s="53" t="s">
        <v>49</v>
      </c>
      <c r="C41" s="54" t="str">
        <f t="shared" ca="1" si="6"/>
        <v/>
      </c>
      <c r="D41" s="55" t="str">
        <f ca="1">IF(VLOOKUP($B41, analysis_table_by_well_with_zero, 18, FALSE),CODE128(VLOOKUP($B41, analysis_table_by_well_with_zero, 3, FALSE)),"")</f>
        <v/>
      </c>
      <c r="E41" s="56" t="str">
        <f t="shared" ca="1" si="7"/>
        <v/>
      </c>
      <c r="F41" s="57" t="str">
        <f ca="1">IF(C41&lt;&gt;0,IF(COUNTIF('Per Ministero'!$A:$A,C41)&gt;0,"TROVATO","NON TROVATO"),"")</f>
        <v>TROVATO</v>
      </c>
      <c r="G41" s="58" t="str">
        <f t="shared" ca="1" si="8"/>
        <v/>
      </c>
      <c r="H41" s="59" t="str">
        <f t="shared" ca="1" si="9"/>
        <v/>
      </c>
      <c r="I41" s="60" t="str">
        <f ca="1">IF(G41&lt;&gt;"ERR",CODE128(H41),"")</f>
        <v/>
      </c>
    </row>
    <row r="42" spans="1:9" ht="52.5" customHeight="1" x14ac:dyDescent="0.15">
      <c r="A42" s="52" t="str">
        <f t="shared" si="5"/>
        <v/>
      </c>
      <c r="B42" s="53" t="s">
        <v>138</v>
      </c>
      <c r="C42" s="54" t="str">
        <f t="shared" ca="1" si="6"/>
        <v/>
      </c>
      <c r="D42" s="55" t="str">
        <f ca="1">IF(VLOOKUP($B42, analysis_table_by_well_with_zero, 18, FALSE),CODE128(VLOOKUP($B42, analysis_table_by_well_with_zero, 3, FALSE)),"")</f>
        <v/>
      </c>
      <c r="E42" s="56" t="str">
        <f t="shared" ca="1" si="7"/>
        <v/>
      </c>
      <c r="F42" s="57" t="str">
        <f ca="1">IF(C42&lt;&gt;0,IF(COUNTIF('Per Ministero'!$A:$A,C42)&gt;0,"TROVATO","NON TROVATO"),"")</f>
        <v>TROVATO</v>
      </c>
      <c r="G42" s="58" t="str">
        <f t="shared" ca="1" si="8"/>
        <v/>
      </c>
      <c r="H42" s="59" t="str">
        <f t="shared" ca="1" si="9"/>
        <v/>
      </c>
      <c r="I42" s="60" t="str">
        <f ca="1">IF(G42&lt;&gt;"ERR",CODE128(H42),"")</f>
        <v/>
      </c>
    </row>
    <row r="43" spans="1:9" ht="52.5" customHeight="1" x14ac:dyDescent="0.15">
      <c r="A43" s="52" t="str">
        <f t="shared" si="5"/>
        <v/>
      </c>
      <c r="B43" s="53" t="s">
        <v>58</v>
      </c>
      <c r="C43" s="54" t="str">
        <f t="shared" ca="1" si="6"/>
        <v/>
      </c>
      <c r="D43" s="55" t="str">
        <f ca="1">IF(VLOOKUP($B43, analysis_table_by_well_with_zero, 18, FALSE),CODE128(VLOOKUP($B43, analysis_table_by_well_with_zero, 3, FALSE)),"")</f>
        <v/>
      </c>
      <c r="E43" s="56" t="str">
        <f t="shared" ca="1" si="7"/>
        <v/>
      </c>
      <c r="F43" s="57" t="str">
        <f ca="1">IF(C43&lt;&gt;0,IF(COUNTIF('Per Ministero'!$A:$A,C43)&gt;0,"TROVATO","NON TROVATO"),"")</f>
        <v>TROVATO</v>
      </c>
      <c r="G43" s="58" t="str">
        <f t="shared" ca="1" si="8"/>
        <v/>
      </c>
      <c r="H43" s="59" t="str">
        <f t="shared" ca="1" si="9"/>
        <v/>
      </c>
      <c r="I43" s="60" t="str">
        <f ca="1">IF(G43&lt;&gt;"ERR",CODE128(H43),"")</f>
        <v/>
      </c>
    </row>
    <row r="44" spans="1:9" ht="52.5" customHeight="1" x14ac:dyDescent="0.15">
      <c r="A44" s="52" t="str">
        <f t="shared" si="5"/>
        <v/>
      </c>
      <c r="B44" s="53" t="s">
        <v>5</v>
      </c>
      <c r="C44" s="54" t="str">
        <f t="shared" ca="1" si="6"/>
        <v/>
      </c>
      <c r="D44" s="61" t="str">
        <f ca="1">IF(VLOOKUP($B44, analysis_table_by_well_with_zero, 18, FALSE),CODE128(VLOOKUP($B44, analysis_table_by_well_with_zero, 3, FALSE)),"")</f>
        <v/>
      </c>
      <c r="E44" s="56" t="str">
        <f t="shared" ca="1" si="7"/>
        <v/>
      </c>
      <c r="F44" s="57" t="str">
        <f ca="1">IF(C44&lt;&gt;0,IF(COUNTIF('Per Ministero'!$A:$A,C44)&gt;0,"TROVATO","NON TROVATO"),"")</f>
        <v>TROVATO</v>
      </c>
      <c r="G44" s="58" t="str">
        <f t="shared" ca="1" si="8"/>
        <v/>
      </c>
      <c r="H44" s="59" t="str">
        <f t="shared" ca="1" si="9"/>
        <v/>
      </c>
      <c r="I44" s="60" t="str">
        <f ca="1">IF(G44&lt;&gt;"ERR",CODE128(H44),"")</f>
        <v/>
      </c>
    </row>
    <row r="45" spans="1:9" ht="52.5" customHeight="1" x14ac:dyDescent="0.15">
      <c r="A45" s="52" t="str">
        <f t="shared" si="5"/>
        <v/>
      </c>
      <c r="B45" s="53" t="s">
        <v>14</v>
      </c>
      <c r="C45" s="54" t="str">
        <f t="shared" ca="1" si="6"/>
        <v/>
      </c>
      <c r="D45" s="55" t="str">
        <f ca="1">IF(VLOOKUP($B45, analysis_table_by_well_with_zero, 18, FALSE),CODE128(VLOOKUP($B45, analysis_table_by_well_with_zero, 3, FALSE)),"")</f>
        <v/>
      </c>
      <c r="E45" s="56" t="str">
        <f t="shared" ca="1" si="7"/>
        <v/>
      </c>
      <c r="F45" s="57" t="str">
        <f ca="1">IF(C45&lt;&gt;0,IF(COUNTIF('Per Ministero'!$A:$A,C45)&gt;0,"TROVATO","NON TROVATO"),"")</f>
        <v>TROVATO</v>
      </c>
      <c r="G45" s="58" t="str">
        <f t="shared" ca="1" si="8"/>
        <v/>
      </c>
      <c r="H45" s="59" t="str">
        <f t="shared" ca="1" si="9"/>
        <v/>
      </c>
      <c r="I45" s="60" t="str">
        <f ca="1">IF(G45&lt;&gt;"ERR",CODE128(H45),"")</f>
        <v/>
      </c>
    </row>
    <row r="46" spans="1:9" ht="52.5" customHeight="1" x14ac:dyDescent="0.15">
      <c r="A46" s="52" t="str">
        <f t="shared" si="5"/>
        <v/>
      </c>
      <c r="B46" s="53" t="s">
        <v>67</v>
      </c>
      <c r="C46" s="54" t="str">
        <f t="shared" ca="1" si="6"/>
        <v/>
      </c>
      <c r="D46" s="55" t="str">
        <f ca="1">IF(VLOOKUP($B46, analysis_table_by_well_with_zero, 18, FALSE),CODE128(VLOOKUP($B46, analysis_table_by_well_with_zero, 3, FALSE)),"")</f>
        <v/>
      </c>
      <c r="E46" s="56" t="str">
        <f t="shared" ca="1" si="7"/>
        <v/>
      </c>
      <c r="F46" s="57" t="str">
        <f ca="1">IF(C46&lt;&gt;0,IF(COUNTIF('Per Ministero'!$A:$A,C46)&gt;0,"TROVATO","NON TROVATO"),"")</f>
        <v>TROVATO</v>
      </c>
      <c r="G46" s="58" t="str">
        <f t="shared" ca="1" si="8"/>
        <v/>
      </c>
      <c r="H46" s="59" t="str">
        <f t="shared" ca="1" si="9"/>
        <v/>
      </c>
      <c r="I46" s="60" t="str">
        <f ca="1">IF(G46&lt;&gt;"ERR",CODE128(H46),"")</f>
        <v/>
      </c>
    </row>
    <row r="47" spans="1:9" ht="52.5" customHeight="1" x14ac:dyDescent="0.15">
      <c r="A47" s="52" t="str">
        <f t="shared" si="5"/>
        <v/>
      </c>
      <c r="B47" s="53" t="s">
        <v>6</v>
      </c>
      <c r="C47" s="54" t="str">
        <f t="shared" ca="1" si="6"/>
        <v/>
      </c>
      <c r="D47" s="55" t="str">
        <f ca="1">IF(VLOOKUP($B47, analysis_table_by_well_with_zero, 18, FALSE),CODE128(VLOOKUP($B47, analysis_table_by_well_with_zero, 3, FALSE)),"")</f>
        <v/>
      </c>
      <c r="E47" s="56" t="str">
        <f t="shared" ca="1" si="7"/>
        <v/>
      </c>
      <c r="F47" s="57" t="str">
        <f ca="1">IF(C47&lt;&gt;0,IF(COUNTIF('Per Ministero'!$A:$A,C47)&gt;0,"TROVATO","NON TROVATO"),"")</f>
        <v>TROVATO</v>
      </c>
      <c r="G47" s="58" t="str">
        <f t="shared" ca="1" si="8"/>
        <v/>
      </c>
      <c r="H47" s="59" t="str">
        <f t="shared" ca="1" si="9"/>
        <v/>
      </c>
      <c r="I47" s="60" t="str">
        <f ca="1">IF(G47&lt;&gt;"ERR",CODE128(H47),"")</f>
        <v/>
      </c>
    </row>
    <row r="48" spans="1:9" ht="52.5" customHeight="1" x14ac:dyDescent="0.15">
      <c r="A48" s="52" t="str">
        <f t="shared" si="5"/>
        <v/>
      </c>
      <c r="B48" s="53" t="s">
        <v>42</v>
      </c>
      <c r="C48" s="54" t="str">
        <f t="shared" ca="1" si="6"/>
        <v/>
      </c>
      <c r="D48" s="55" t="str">
        <f ca="1">IF(VLOOKUP($B48, analysis_table_by_well_with_zero, 18, FALSE),CODE128(VLOOKUP($B48, analysis_table_by_well_with_zero, 3, FALSE)),"")</f>
        <v/>
      </c>
      <c r="E48" s="56" t="str">
        <f t="shared" ca="1" si="7"/>
        <v/>
      </c>
      <c r="F48" s="57" t="str">
        <f ca="1">IF(C48&lt;&gt;0,IF(COUNTIF('Per Ministero'!$A:$A,C48)&gt;0,"TROVATO","NON TROVATO"),"")</f>
        <v>TROVATO</v>
      </c>
      <c r="G48" s="58" t="str">
        <f t="shared" ca="1" si="8"/>
        <v/>
      </c>
      <c r="H48" s="59" t="str">
        <f t="shared" ca="1" si="9"/>
        <v/>
      </c>
      <c r="I48" s="60" t="str">
        <f ca="1">IF(G48&lt;&gt;"ERR",CODE128(H48),"")</f>
        <v/>
      </c>
    </row>
    <row r="49" spans="1:9" ht="52.5" customHeight="1" x14ac:dyDescent="0.15">
      <c r="A49" s="52" t="str">
        <f t="shared" si="5"/>
        <v/>
      </c>
      <c r="B49" s="53" t="s">
        <v>137</v>
      </c>
      <c r="C49" s="54" t="str">
        <f t="shared" ca="1" si="6"/>
        <v/>
      </c>
      <c r="D49" s="55" t="str">
        <f ca="1">IF(VLOOKUP($B49, analysis_table_by_well_with_zero, 18, FALSE),CODE128(VLOOKUP($B49, analysis_table_by_well_with_zero, 3, FALSE)),"")</f>
        <v/>
      </c>
      <c r="E49" s="56" t="str">
        <f t="shared" ca="1" si="7"/>
        <v/>
      </c>
      <c r="F49" s="57" t="str">
        <f ca="1">IF(C49&lt;&gt;0,IF(COUNTIF('Per Ministero'!$A:$A,C49)&gt;0,"TROVATO","NON TROVATO"),"")</f>
        <v>TROVATO</v>
      </c>
      <c r="G49" s="58" t="str">
        <f t="shared" ca="1" si="8"/>
        <v/>
      </c>
      <c r="H49" s="59" t="str">
        <f t="shared" ca="1" si="9"/>
        <v/>
      </c>
      <c r="I49" s="60" t="str">
        <f ca="1">IF(G49&lt;&gt;"ERR",CODE128(H49),"")</f>
        <v/>
      </c>
    </row>
    <row r="50" spans="1:9" ht="52.5" customHeight="1" x14ac:dyDescent="0.15">
      <c r="A50" s="52" t="str">
        <f t="shared" si="5"/>
        <v/>
      </c>
      <c r="B50" s="53" t="s">
        <v>69</v>
      </c>
      <c r="C50" s="54" t="str">
        <f t="shared" ca="1" si="6"/>
        <v/>
      </c>
      <c r="D50" s="55" t="str">
        <f ca="1">IF(VLOOKUP($B50, analysis_table_by_well_with_zero, 18, FALSE),CODE128(VLOOKUP($B50, analysis_table_by_well_with_zero, 3, FALSE)),"")</f>
        <v/>
      </c>
      <c r="E50" s="56" t="str">
        <f t="shared" ca="1" si="7"/>
        <v/>
      </c>
      <c r="F50" s="57" t="str">
        <f ca="1">IF(C50&lt;&gt;0,IF(COUNTIF('Per Ministero'!$A:$A,C50)&gt;0,"TROVATO","NON TROVATO"),"")</f>
        <v>TROVATO</v>
      </c>
      <c r="G50" s="58" t="str">
        <f t="shared" ca="1" si="8"/>
        <v/>
      </c>
      <c r="H50" s="59" t="str">
        <f t="shared" ca="1" si="9"/>
        <v/>
      </c>
      <c r="I50" s="60" t="str">
        <f ca="1">IF(G50&lt;&gt;"ERR",CODE128(H50),"")</f>
        <v/>
      </c>
    </row>
    <row r="51" spans="1:9" ht="52.5" customHeight="1" x14ac:dyDescent="0.15">
      <c r="A51" s="52" t="str">
        <f t="shared" si="5"/>
        <v/>
      </c>
      <c r="B51" s="53" t="s">
        <v>73</v>
      </c>
      <c r="C51" s="54" t="str">
        <f t="shared" ca="1" si="6"/>
        <v/>
      </c>
      <c r="D51" s="55" t="str">
        <f ca="1">IF(VLOOKUP($B51, analysis_table_by_well_with_zero, 18, FALSE),CODE128(VLOOKUP($B51, analysis_table_by_well_with_zero, 3, FALSE)),"")</f>
        <v/>
      </c>
      <c r="E51" s="56" t="str">
        <f t="shared" ca="1" si="7"/>
        <v/>
      </c>
      <c r="F51" s="57" t="str">
        <f ca="1">IF(C51&lt;&gt;0,IF(COUNTIF('Per Ministero'!$A:$A,C51)&gt;0,"TROVATO","NON TROVATO"),"")</f>
        <v>TROVATO</v>
      </c>
      <c r="G51" s="58" t="str">
        <f t="shared" ca="1" si="8"/>
        <v/>
      </c>
      <c r="H51" s="59" t="str">
        <f t="shared" ca="1" si="9"/>
        <v/>
      </c>
      <c r="I51" s="60" t="str">
        <f ca="1">IF(G51&lt;&gt;"ERR",CODE128(H51),"")</f>
        <v/>
      </c>
    </row>
    <row r="52" spans="1:9" ht="52.5" customHeight="1" x14ac:dyDescent="0.15">
      <c r="A52" s="52" t="str">
        <f t="shared" si="5"/>
        <v/>
      </c>
      <c r="B52" s="53" t="s">
        <v>71</v>
      </c>
      <c r="C52" s="54" t="str">
        <f t="shared" ca="1" si="6"/>
        <v/>
      </c>
      <c r="D52" s="55" t="str">
        <f ca="1">IF(VLOOKUP($B52, analysis_table_by_well_with_zero, 18, FALSE),CODE128(VLOOKUP($B52, analysis_table_by_well_with_zero, 3, FALSE)),"")</f>
        <v/>
      </c>
      <c r="E52" s="56" t="str">
        <f t="shared" ca="1" si="7"/>
        <v/>
      </c>
      <c r="F52" s="57" t="str">
        <f ca="1">IF(C52&lt;&gt;0,IF(COUNTIF('Per Ministero'!$A:$A,C52)&gt;0,"TROVATO","NON TROVATO"),"")</f>
        <v>TROVATO</v>
      </c>
      <c r="G52" s="58" t="str">
        <f t="shared" ca="1" si="8"/>
        <v/>
      </c>
      <c r="H52" s="59" t="str">
        <f t="shared" ca="1" si="9"/>
        <v/>
      </c>
      <c r="I52" s="60" t="str">
        <f ca="1">IF(G52&lt;&gt;"ERR",CODE128(H52),"")</f>
        <v/>
      </c>
    </row>
    <row r="53" spans="1:9" ht="52.5" customHeight="1" x14ac:dyDescent="0.15">
      <c r="A53" s="52" t="str">
        <f t="shared" si="5"/>
        <v/>
      </c>
      <c r="B53" s="53" t="s">
        <v>140</v>
      </c>
      <c r="C53" s="54" t="str">
        <f t="shared" ca="1" si="6"/>
        <v/>
      </c>
      <c r="D53" s="55" t="str">
        <f ca="1">IF(VLOOKUP($B53, analysis_table_by_well_with_zero, 18, FALSE),CODE128(VLOOKUP($B53, analysis_table_by_well_with_zero, 3, FALSE)),"")</f>
        <v/>
      </c>
      <c r="E53" s="56" t="str">
        <f t="shared" ca="1" si="7"/>
        <v/>
      </c>
      <c r="F53" s="57" t="str">
        <f ca="1">IF(C53&lt;&gt;0,IF(COUNTIF('Per Ministero'!$A:$A,C53)&gt;0,"TROVATO","NON TROVATO"),"")</f>
        <v>TROVATO</v>
      </c>
      <c r="G53" s="58" t="str">
        <f t="shared" ca="1" si="8"/>
        <v/>
      </c>
      <c r="H53" s="59" t="str">
        <f t="shared" ca="1" si="9"/>
        <v/>
      </c>
      <c r="I53" s="60" t="str">
        <f ca="1">IF(G53&lt;&gt;"ERR",CODE128(H53),"")</f>
        <v/>
      </c>
    </row>
    <row r="54" spans="1:9" ht="52.5" customHeight="1" x14ac:dyDescent="0.15">
      <c r="A54" s="52" t="str">
        <f t="shared" si="5"/>
        <v/>
      </c>
      <c r="B54" s="53" t="s">
        <v>145</v>
      </c>
      <c r="C54" s="54" t="str">
        <f t="shared" ca="1" si="6"/>
        <v/>
      </c>
      <c r="D54" s="55" t="str">
        <f ca="1">IF(VLOOKUP($B54, analysis_table_by_well_with_zero, 18, FALSE),CODE128(VLOOKUP($B54, analysis_table_by_well_with_zero, 3, FALSE)),"")</f>
        <v/>
      </c>
      <c r="E54" s="56" t="str">
        <f t="shared" ca="1" si="7"/>
        <v/>
      </c>
      <c r="F54" s="57" t="str">
        <f ca="1">IF(C54&lt;&gt;0,IF(COUNTIF('Per Ministero'!$A:$A,C54)&gt;0,"TROVATO","NON TROVATO"),"")</f>
        <v>TROVATO</v>
      </c>
      <c r="G54" s="58" t="str">
        <f t="shared" ca="1" si="8"/>
        <v/>
      </c>
      <c r="H54" s="59" t="str">
        <f t="shared" ca="1" si="9"/>
        <v/>
      </c>
      <c r="I54" s="60" t="str">
        <f ca="1">IF(G54&lt;&gt;"ERR",CODE128(H54),"")</f>
        <v/>
      </c>
    </row>
    <row r="55" spans="1:9" ht="52.5" customHeight="1" x14ac:dyDescent="0.15">
      <c r="A55" s="52" t="str">
        <f t="shared" si="5"/>
        <v/>
      </c>
      <c r="B55" s="53" t="s">
        <v>29</v>
      </c>
      <c r="C55" s="54" t="str">
        <f t="shared" ca="1" si="6"/>
        <v/>
      </c>
      <c r="D55" s="55" t="str">
        <f ca="1">IF(VLOOKUP($B55, analysis_table_by_well_with_zero, 18, FALSE),CODE128(VLOOKUP($B55, analysis_table_by_well_with_zero, 3, FALSE)),"")</f>
        <v/>
      </c>
      <c r="E55" s="56" t="str">
        <f t="shared" ca="1" si="7"/>
        <v/>
      </c>
      <c r="F55" s="57" t="str">
        <f ca="1">IF(C55&lt;&gt;0,IF(COUNTIF('Per Ministero'!$A:$A,C55)&gt;0,"TROVATO","NON TROVATO"),"")</f>
        <v>TROVATO</v>
      </c>
      <c r="G55" s="58" t="str">
        <f t="shared" ca="1" si="8"/>
        <v/>
      </c>
      <c r="H55" s="59" t="str">
        <f t="shared" ca="1" si="9"/>
        <v/>
      </c>
      <c r="I55" s="60" t="str">
        <f ca="1">IF(G55&lt;&gt;"ERR",CODE128(H55),"")</f>
        <v/>
      </c>
    </row>
    <row r="56" spans="1:9" ht="52.5" customHeight="1" x14ac:dyDescent="0.15">
      <c r="A56" s="52" t="str">
        <f t="shared" si="5"/>
        <v/>
      </c>
      <c r="B56" s="53" t="s">
        <v>70</v>
      </c>
      <c r="C56" s="54" t="str">
        <f t="shared" ca="1" si="6"/>
        <v/>
      </c>
      <c r="D56" s="55" t="str">
        <f ca="1">IF(VLOOKUP($B56, analysis_table_by_well_with_zero, 18, FALSE),CODE128(VLOOKUP($B56, analysis_table_by_well_with_zero, 3, FALSE)),"")</f>
        <v/>
      </c>
      <c r="E56" s="56" t="str">
        <f t="shared" ca="1" si="7"/>
        <v/>
      </c>
      <c r="F56" s="57" t="str">
        <f ca="1">IF(C56&lt;&gt;0,IF(COUNTIF('Per Ministero'!$A:$A,C56)&gt;0,"TROVATO","NON TROVATO"),"")</f>
        <v>TROVATO</v>
      </c>
      <c r="G56" s="58" t="str">
        <f t="shared" ca="1" si="8"/>
        <v/>
      </c>
      <c r="H56" s="59" t="str">
        <f t="shared" ca="1" si="9"/>
        <v/>
      </c>
      <c r="I56" s="60" t="str">
        <f ca="1">IF(G56&lt;&gt;"ERR",CODE128(H56),"")</f>
        <v/>
      </c>
    </row>
    <row r="57" spans="1:9" ht="52.5" customHeight="1" x14ac:dyDescent="0.15">
      <c r="A57" s="52" t="str">
        <f t="shared" si="5"/>
        <v/>
      </c>
      <c r="B57" s="53" t="s">
        <v>30</v>
      </c>
      <c r="C57" s="54" t="str">
        <f t="shared" ca="1" si="6"/>
        <v/>
      </c>
      <c r="D57" s="55" t="str">
        <f ca="1">IF(VLOOKUP($B57, analysis_table_by_well_with_zero, 18, FALSE),CODE128(VLOOKUP($B57, analysis_table_by_well_with_zero, 3, FALSE)),"")</f>
        <v/>
      </c>
      <c r="E57" s="56" t="str">
        <f t="shared" ca="1" si="7"/>
        <v/>
      </c>
      <c r="F57" s="57" t="str">
        <f ca="1">IF(C57&lt;&gt;0,IF(COUNTIF('Per Ministero'!$A:$A,C57)&gt;0,"TROVATO","NON TROVATO"),"")</f>
        <v>TROVATO</v>
      </c>
      <c r="G57" s="58" t="str">
        <f t="shared" ca="1" si="8"/>
        <v/>
      </c>
      <c r="H57" s="59" t="str">
        <f t="shared" ca="1" si="9"/>
        <v/>
      </c>
      <c r="I57" s="60" t="str">
        <f ca="1">IF(G57&lt;&gt;"ERR",CODE128(H57),"")</f>
        <v/>
      </c>
    </row>
    <row r="58" spans="1:9" ht="52.5" customHeight="1" x14ac:dyDescent="0.15">
      <c r="A58" s="52" t="str">
        <f t="shared" si="5"/>
        <v/>
      </c>
      <c r="B58" s="53" t="s">
        <v>15</v>
      </c>
      <c r="C58" s="54" t="str">
        <f t="shared" ca="1" si="6"/>
        <v/>
      </c>
      <c r="D58" s="55" t="str">
        <f ca="1">IF(VLOOKUP($B58, analysis_table_by_well_with_zero, 18, FALSE),CODE128(VLOOKUP($B58, analysis_table_by_well_with_zero, 3, FALSE)),"")</f>
        <v/>
      </c>
      <c r="E58" s="56" t="str">
        <f t="shared" ca="1" si="7"/>
        <v/>
      </c>
      <c r="F58" s="57" t="str">
        <f ca="1">IF(C58&lt;&gt;0,IF(COUNTIF('Per Ministero'!$A:$A,C58)&gt;0,"TROVATO","NON TROVATO"),"")</f>
        <v>TROVATO</v>
      </c>
      <c r="G58" s="58" t="str">
        <f t="shared" ca="1" si="8"/>
        <v/>
      </c>
      <c r="H58" s="59" t="str">
        <f t="shared" ca="1" si="9"/>
        <v/>
      </c>
      <c r="I58" s="60" t="str">
        <f ca="1">IF(G58&lt;&gt;"ERR",CODE128(H58),"")</f>
        <v/>
      </c>
    </row>
    <row r="59" spans="1:9" ht="52.5" customHeight="1" x14ac:dyDescent="0.15">
      <c r="A59" s="52" t="str">
        <f t="shared" si="5"/>
        <v/>
      </c>
      <c r="B59" s="53" t="s">
        <v>8</v>
      </c>
      <c r="C59" s="54" t="str">
        <f t="shared" ca="1" si="6"/>
        <v/>
      </c>
      <c r="D59" s="55" t="str">
        <f ca="1">IF(VLOOKUP($B59, analysis_table_by_well_with_zero, 18, FALSE),CODE128(VLOOKUP($B59, analysis_table_by_well_with_zero, 3, FALSE)),"")</f>
        <v/>
      </c>
      <c r="E59" s="56" t="str">
        <f t="shared" ca="1" si="7"/>
        <v/>
      </c>
      <c r="F59" s="57" t="str">
        <f ca="1">IF(C59&lt;&gt;0,IF(COUNTIF('Per Ministero'!$A:$A,C59)&gt;0,"TROVATO","NON TROVATO"),"")</f>
        <v>TROVATO</v>
      </c>
      <c r="G59" s="58" t="str">
        <f t="shared" ca="1" si="8"/>
        <v/>
      </c>
      <c r="H59" s="59" t="str">
        <f t="shared" ca="1" si="9"/>
        <v/>
      </c>
      <c r="I59" s="60" t="str">
        <f ca="1">IF(G59&lt;&gt;"ERR",CODE128(H59),"")</f>
        <v/>
      </c>
    </row>
    <row r="60" spans="1:9" ht="52.5" customHeight="1" x14ac:dyDescent="0.15">
      <c r="A60" s="52" t="str">
        <f t="shared" si="5"/>
        <v/>
      </c>
      <c r="B60" s="53" t="s">
        <v>57</v>
      </c>
      <c r="C60" s="54" t="str">
        <f t="shared" ca="1" si="6"/>
        <v/>
      </c>
      <c r="D60" s="55" t="str">
        <f ca="1">IF(VLOOKUP($B60, analysis_table_by_well_with_zero, 18, FALSE),CODE128(VLOOKUP($B60, analysis_table_by_well_with_zero, 3, FALSE)),"")</f>
        <v/>
      </c>
      <c r="E60" s="56" t="str">
        <f t="shared" ca="1" si="7"/>
        <v/>
      </c>
      <c r="F60" s="57" t="str">
        <f ca="1">IF(C60&lt;&gt;0,IF(COUNTIF('Per Ministero'!$A:$A,C60)&gt;0,"TROVATO","NON TROVATO"),"")</f>
        <v>TROVATO</v>
      </c>
      <c r="G60" s="58" t="str">
        <f t="shared" ca="1" si="8"/>
        <v/>
      </c>
      <c r="H60" s="59" t="str">
        <f t="shared" ca="1" si="9"/>
        <v/>
      </c>
      <c r="I60" s="60" t="str">
        <f ca="1">IF(G60&lt;&gt;"ERR",CODE128(H60),"")</f>
        <v/>
      </c>
    </row>
    <row r="61" spans="1:9" ht="52.5" customHeight="1" x14ac:dyDescent="0.15">
      <c r="A61" s="52" t="str">
        <f t="shared" si="5"/>
        <v/>
      </c>
      <c r="B61" s="53" t="s">
        <v>56</v>
      </c>
      <c r="C61" s="54" t="str">
        <f t="shared" ca="1" si="6"/>
        <v/>
      </c>
      <c r="D61" s="55" t="str">
        <f ca="1">IF(VLOOKUP($B61, analysis_table_by_well_with_zero, 18, FALSE),CODE128(VLOOKUP($B61, analysis_table_by_well_with_zero, 3, FALSE)),"")</f>
        <v/>
      </c>
      <c r="E61" s="56" t="str">
        <f t="shared" ca="1" si="7"/>
        <v/>
      </c>
      <c r="F61" s="57" t="str">
        <f ca="1">IF(C61&lt;&gt;0,IF(COUNTIF('Per Ministero'!$A:$A,C61)&gt;0,"TROVATO","NON TROVATO"),"")</f>
        <v>TROVATO</v>
      </c>
      <c r="G61" s="58" t="str">
        <f t="shared" ca="1" si="8"/>
        <v/>
      </c>
      <c r="H61" s="59" t="str">
        <f t="shared" ca="1" si="9"/>
        <v/>
      </c>
      <c r="I61" s="60" t="str">
        <f ca="1">IF(G61&lt;&gt;"ERR",CODE128(H61),"")</f>
        <v/>
      </c>
    </row>
    <row r="62" spans="1:9" ht="52.5" customHeight="1" x14ac:dyDescent="0.15">
      <c r="A62" s="52" t="str">
        <f t="shared" si="5"/>
        <v/>
      </c>
      <c r="B62" s="53" t="s">
        <v>139</v>
      </c>
      <c r="C62" s="54" t="str">
        <f t="shared" ca="1" si="6"/>
        <v/>
      </c>
      <c r="D62" s="55" t="str">
        <f ca="1">IF(VLOOKUP($B62, analysis_table_by_well_with_zero, 18, FALSE),CODE128(VLOOKUP($B62, analysis_table_by_well_with_zero, 3, FALSE)),"")</f>
        <v/>
      </c>
      <c r="E62" s="56" t="str">
        <f t="shared" ca="1" si="7"/>
        <v/>
      </c>
      <c r="F62" s="57" t="str">
        <f ca="1">IF(C62&lt;&gt;0,IF(COUNTIF('Per Ministero'!$A:$A,C62)&gt;0,"TROVATO","NON TROVATO"),"")</f>
        <v>TROVATO</v>
      </c>
      <c r="G62" s="58" t="str">
        <f t="shared" ca="1" si="8"/>
        <v/>
      </c>
      <c r="H62" s="59" t="str">
        <f t="shared" ca="1" si="9"/>
        <v/>
      </c>
      <c r="I62" s="60" t="str">
        <f ca="1">IF(G62&lt;&gt;"ERR",CODE128(H62),"")</f>
        <v/>
      </c>
    </row>
    <row r="63" spans="1:9" ht="52.5" customHeight="1" x14ac:dyDescent="0.15">
      <c r="A63" s="52" t="str">
        <f t="shared" si="5"/>
        <v/>
      </c>
      <c r="B63" s="53" t="s">
        <v>148</v>
      </c>
      <c r="C63" s="54" t="str">
        <f t="shared" ca="1" si="6"/>
        <v/>
      </c>
      <c r="D63" s="55" t="str">
        <f ca="1">IF(VLOOKUP($B63, analysis_table_by_well_with_zero, 18, FALSE),CODE128(VLOOKUP($B63, analysis_table_by_well_with_zero, 3, FALSE)),"")</f>
        <v/>
      </c>
      <c r="E63" s="56" t="str">
        <f t="shared" ca="1" si="7"/>
        <v/>
      </c>
      <c r="F63" s="57" t="str">
        <f ca="1">IF(C63&lt;&gt;0,IF(COUNTIF('Per Ministero'!$A:$A,C63)&gt;0,"TROVATO","NON TROVATO"),"")</f>
        <v>TROVATO</v>
      </c>
      <c r="G63" s="58" t="str">
        <f t="shared" ca="1" si="8"/>
        <v/>
      </c>
      <c r="H63" s="59" t="str">
        <f t="shared" ca="1" si="9"/>
        <v/>
      </c>
      <c r="I63" s="60" t="str">
        <f ca="1">IF(G63&lt;&gt;"ERR",CODE128(H63),"")</f>
        <v/>
      </c>
    </row>
    <row r="64" spans="1:9" ht="52.5" customHeight="1" x14ac:dyDescent="0.15">
      <c r="A64" s="52" t="str">
        <f t="shared" si="5"/>
        <v/>
      </c>
      <c r="B64" s="53" t="s">
        <v>28</v>
      </c>
      <c r="C64" s="54" t="str">
        <f t="shared" ca="1" si="6"/>
        <v/>
      </c>
      <c r="D64" s="55" t="str">
        <f ca="1">IF(VLOOKUP($B64, analysis_table_by_well_with_zero, 18, FALSE),CODE128(VLOOKUP($B64, analysis_table_by_well_with_zero, 3, FALSE)),"")</f>
        <v/>
      </c>
      <c r="E64" s="56" t="str">
        <f t="shared" ca="1" si="7"/>
        <v/>
      </c>
      <c r="F64" s="57" t="str">
        <f ca="1">IF(C64&lt;&gt;0,IF(COUNTIF('Per Ministero'!$A:$A,C64)&gt;0,"TROVATO","NON TROVATO"),"")</f>
        <v>TROVATO</v>
      </c>
      <c r="G64" s="58" t="str">
        <f t="shared" ca="1" si="8"/>
        <v/>
      </c>
      <c r="H64" s="59" t="str">
        <f t="shared" ca="1" si="9"/>
        <v/>
      </c>
      <c r="I64" s="60" t="str">
        <f ca="1">IF(G64&lt;&gt;"ERR",CODE128(H64),"")</f>
        <v/>
      </c>
    </row>
    <row r="65" spans="1:9" ht="52.5" customHeight="1" x14ac:dyDescent="0.15">
      <c r="A65" s="52" t="str">
        <f t="shared" si="5"/>
        <v/>
      </c>
      <c r="B65" s="53" t="s">
        <v>7</v>
      </c>
      <c r="C65" s="54" t="str">
        <f t="shared" ca="1" si="6"/>
        <v/>
      </c>
      <c r="D65" s="55" t="str">
        <f ca="1">IF(VLOOKUP($B65, analysis_table_by_well_with_zero, 18, FALSE),CODE128(VLOOKUP($B65, analysis_table_by_well_with_zero, 3, FALSE)),"")</f>
        <v/>
      </c>
      <c r="E65" s="56" t="str">
        <f t="shared" ca="1" si="7"/>
        <v/>
      </c>
      <c r="F65" s="57" t="str">
        <f ca="1">IF(C65&lt;&gt;0,IF(COUNTIF('Per Ministero'!$A:$A,C65)&gt;0,"TROVATO","NON TROVATO"),"")</f>
        <v>TROVATO</v>
      </c>
      <c r="G65" s="58" t="str">
        <f t="shared" ca="1" si="8"/>
        <v/>
      </c>
      <c r="H65" s="59" t="str">
        <f t="shared" ca="1" si="9"/>
        <v/>
      </c>
      <c r="I65" s="60" t="str">
        <f ca="1">IF(G65&lt;&gt;"ERR",CODE128(H65),"")</f>
        <v/>
      </c>
    </row>
    <row r="66" spans="1:9" ht="52.5" customHeight="1" x14ac:dyDescent="0.15">
      <c r="A66" s="52" t="str">
        <f t="shared" ref="A66:A97" si="10">VLOOKUP($B66, analysis_table_by_well_with_zero, 2, FALSE)</f>
        <v/>
      </c>
      <c r="B66" s="53" t="s">
        <v>16</v>
      </c>
      <c r="C66" s="54" t="str">
        <f t="shared" ref="C66:C97" ca="1" si="11">VLOOKUP($B66, analysis_table_by_well_with_zero, 3, FALSE)</f>
        <v/>
      </c>
      <c r="D66" s="55" t="str">
        <f ca="1">IF(VLOOKUP($B66, analysis_table_by_well_with_zero, 18, FALSE),CODE128(VLOOKUP($B66, analysis_table_by_well_with_zero, 3, FALSE)),"")</f>
        <v/>
      </c>
      <c r="E66" s="56" t="str">
        <f t="shared" ref="E66:E97" ca="1" si="12">IF($D66&lt;&gt;"",VLOOKUP($B66, analysis_table_by_well_with_zero, 17, FALSE),"")</f>
        <v/>
      </c>
      <c r="F66" s="57" t="str">
        <f ca="1">IF(C66&lt;&gt;0,IF(COUNTIF('Per Ministero'!$A:$A,C66)&gt;0,"TROVATO","NON TROVATO"),"")</f>
        <v>TROVATO</v>
      </c>
      <c r="G66" s="58" t="str">
        <f t="shared" ref="G66:G97" ca="1" si="13">IF($D66&lt;&gt;"",VLOOKUP($B66, analysis_table_by_well_with_zero, 19, FALSE),"")</f>
        <v/>
      </c>
      <c r="H66" s="59" t="str">
        <f t="shared" ref="H66:H97" ca="1" si="14">IF($G66&lt;&gt;"",IF(VLOOKUP($G66, exam_result_to_message,2,FALSE)&lt;&gt;"", VLOOKUP($G66, exam_result_to_message,2,FALSE), ""),"")</f>
        <v/>
      </c>
      <c r="I66" s="60" t="str">
        <f ca="1">IF(G66&lt;&gt;"ERR",CODE128(H66),"")</f>
        <v/>
      </c>
    </row>
    <row r="67" spans="1:9" ht="52.5" customHeight="1" x14ac:dyDescent="0.15">
      <c r="A67" s="52" t="str">
        <f t="shared" si="10"/>
        <v/>
      </c>
      <c r="B67" s="53" t="s">
        <v>75</v>
      </c>
      <c r="C67" s="54" t="str">
        <f t="shared" ca="1" si="11"/>
        <v/>
      </c>
      <c r="D67" s="55" t="str">
        <f ca="1">IF(VLOOKUP($B67, analysis_table_by_well_with_zero, 18, FALSE),CODE128(VLOOKUP($B67, analysis_table_by_well_with_zero, 3, FALSE)),"")</f>
        <v/>
      </c>
      <c r="E67" s="56" t="str">
        <f t="shared" ca="1" si="12"/>
        <v/>
      </c>
      <c r="F67" s="57" t="str">
        <f ca="1">IF(C67&lt;&gt;0,IF(COUNTIF('Per Ministero'!$A:$A,C67)&gt;0,"TROVATO","NON TROVATO"),"")</f>
        <v>TROVATO</v>
      </c>
      <c r="G67" s="58" t="str">
        <f t="shared" ca="1" si="13"/>
        <v/>
      </c>
      <c r="H67" s="59" t="str">
        <f t="shared" ca="1" si="14"/>
        <v/>
      </c>
      <c r="I67" s="60" t="str">
        <f ca="1">IF(G67&lt;&gt;"ERR",CODE128(H67),"")</f>
        <v/>
      </c>
    </row>
    <row r="68" spans="1:9" ht="52.5" customHeight="1" x14ac:dyDescent="0.15">
      <c r="A68" s="52" t="str">
        <f t="shared" si="10"/>
        <v/>
      </c>
      <c r="B68" s="53" t="s">
        <v>154</v>
      </c>
      <c r="C68" s="54" t="str">
        <f t="shared" ca="1" si="11"/>
        <v/>
      </c>
      <c r="D68" s="55" t="str">
        <f ca="1">IF(VLOOKUP($B68, analysis_table_by_well_with_zero, 18, FALSE),CODE128(VLOOKUP($B68, analysis_table_by_well_with_zero, 3, FALSE)),"")</f>
        <v/>
      </c>
      <c r="E68" s="56" t="str">
        <f t="shared" ca="1" si="12"/>
        <v/>
      </c>
      <c r="F68" s="57" t="str">
        <f ca="1">IF(C68&lt;&gt;0,IF(COUNTIF('Per Ministero'!$A:$A,C68)&gt;0,"TROVATO","NON TROVATO"),"")</f>
        <v>TROVATO</v>
      </c>
      <c r="G68" s="58" t="str">
        <f t="shared" ca="1" si="13"/>
        <v/>
      </c>
      <c r="H68" s="59" t="str">
        <f t="shared" ca="1" si="14"/>
        <v/>
      </c>
      <c r="I68" s="60" t="str">
        <f ca="1">IF(G68&lt;&gt;"ERR",CODE128(H68),"")</f>
        <v/>
      </c>
    </row>
    <row r="69" spans="1:9" ht="52.5" customHeight="1" x14ac:dyDescent="0.15">
      <c r="A69" s="52" t="str">
        <f t="shared" si="10"/>
        <v/>
      </c>
      <c r="B69" s="53" t="s">
        <v>150</v>
      </c>
      <c r="C69" s="54" t="str">
        <f t="shared" ca="1" si="11"/>
        <v/>
      </c>
      <c r="D69" s="55" t="str">
        <f ca="1">IF(VLOOKUP($B69, analysis_table_by_well_with_zero, 18, FALSE),CODE128(VLOOKUP($B69, analysis_table_by_well_with_zero, 3, FALSE)),"")</f>
        <v/>
      </c>
      <c r="E69" s="56" t="str">
        <f t="shared" ca="1" si="12"/>
        <v/>
      </c>
      <c r="F69" s="57" t="str">
        <f ca="1">IF(C69&lt;&gt;0,IF(COUNTIF('Per Ministero'!$A:$A,C69)&gt;0,"TROVATO","NON TROVATO"),"")</f>
        <v>TROVATO</v>
      </c>
      <c r="G69" s="58" t="str">
        <f t="shared" ca="1" si="13"/>
        <v/>
      </c>
      <c r="H69" s="59" t="str">
        <f t="shared" ca="1" si="14"/>
        <v/>
      </c>
      <c r="I69" s="60" t="str">
        <f ca="1">IF(G69&lt;&gt;"ERR",CODE128(H69),"")</f>
        <v/>
      </c>
    </row>
    <row r="70" spans="1:9" ht="52.5" customHeight="1" x14ac:dyDescent="0.15">
      <c r="A70" s="52" t="str">
        <f t="shared" si="10"/>
        <v/>
      </c>
      <c r="B70" s="53" t="s">
        <v>72</v>
      </c>
      <c r="C70" s="54" t="str">
        <f t="shared" ca="1" si="11"/>
        <v/>
      </c>
      <c r="D70" s="55" t="str">
        <f ca="1">IF(VLOOKUP($B70, analysis_table_by_well_with_zero, 18, FALSE),CODE128(VLOOKUP($B70, analysis_table_by_well_with_zero, 3, FALSE)),"")</f>
        <v/>
      </c>
      <c r="E70" s="56" t="str">
        <f t="shared" ca="1" si="12"/>
        <v/>
      </c>
      <c r="F70" s="57" t="str">
        <f ca="1">IF(C70&lt;&gt;0,IF(COUNTIF('Per Ministero'!$A:$A,C70)&gt;0,"TROVATO","NON TROVATO"),"")</f>
        <v>TROVATO</v>
      </c>
      <c r="G70" s="58" t="str">
        <f t="shared" ca="1" si="13"/>
        <v/>
      </c>
      <c r="H70" s="59" t="str">
        <f t="shared" ca="1" si="14"/>
        <v/>
      </c>
      <c r="I70" s="60" t="str">
        <f ca="1">IF(G70&lt;&gt;"ERR",CODE128(H70),"")</f>
        <v/>
      </c>
    </row>
    <row r="71" spans="1:9" ht="52.5" customHeight="1" x14ac:dyDescent="0.15">
      <c r="A71" s="52" t="str">
        <f t="shared" si="10"/>
        <v/>
      </c>
      <c r="B71" s="53" t="s">
        <v>74</v>
      </c>
      <c r="C71" s="54" t="str">
        <f t="shared" ca="1" si="11"/>
        <v/>
      </c>
      <c r="D71" s="55" t="str">
        <f ca="1">IF(VLOOKUP($B71, analysis_table_by_well_with_zero, 18, FALSE),CODE128(VLOOKUP($B71, analysis_table_by_well_with_zero, 3, FALSE)),"")</f>
        <v/>
      </c>
      <c r="E71" s="56" t="str">
        <f t="shared" ca="1" si="12"/>
        <v/>
      </c>
      <c r="F71" s="57" t="str">
        <f ca="1">IF(C71&lt;&gt;0,IF(COUNTIF('Per Ministero'!$A:$A,C71)&gt;0,"TROVATO","NON TROVATO"),"")</f>
        <v>TROVATO</v>
      </c>
      <c r="G71" s="58" t="str">
        <f t="shared" ca="1" si="13"/>
        <v/>
      </c>
      <c r="H71" s="59" t="str">
        <f t="shared" ca="1" si="14"/>
        <v/>
      </c>
      <c r="I71" s="60" t="str">
        <f ca="1">IF(G71&lt;&gt;"ERR",CODE128(H71),"")</f>
        <v/>
      </c>
    </row>
    <row r="72" spans="1:9" ht="52.5" customHeight="1" x14ac:dyDescent="0.15">
      <c r="A72" s="52" t="str">
        <f t="shared" si="10"/>
        <v/>
      </c>
      <c r="B72" s="53" t="s">
        <v>141</v>
      </c>
      <c r="C72" s="54" t="str">
        <f t="shared" ca="1" si="11"/>
        <v/>
      </c>
      <c r="D72" s="55" t="str">
        <f ca="1">IF(VLOOKUP($B72, analysis_table_by_well_with_zero, 18, FALSE),CODE128(VLOOKUP($B72, analysis_table_by_well_with_zero, 3, FALSE)),"")</f>
        <v/>
      </c>
      <c r="E72" s="56" t="str">
        <f t="shared" ca="1" si="12"/>
        <v/>
      </c>
      <c r="F72" s="57" t="str">
        <f ca="1">IF(C72&lt;&gt;0,IF(COUNTIF('Per Ministero'!$A:$A,C72)&gt;0,"TROVATO","NON TROVATO"),"")</f>
        <v>TROVATO</v>
      </c>
      <c r="G72" s="58" t="str">
        <f t="shared" ca="1" si="13"/>
        <v/>
      </c>
      <c r="H72" s="59" t="str">
        <f t="shared" ca="1" si="14"/>
        <v/>
      </c>
      <c r="I72" s="60" t="str">
        <f ca="1">IF(G72&lt;&gt;"ERR",CODE128(H72),"")</f>
        <v/>
      </c>
    </row>
    <row r="73" spans="1:9" ht="52.5" customHeight="1" x14ac:dyDescent="0.15">
      <c r="A73" s="52" t="str">
        <f t="shared" si="10"/>
        <v/>
      </c>
      <c r="B73" s="53" t="s">
        <v>158</v>
      </c>
      <c r="C73" s="54" t="str">
        <f t="shared" ca="1" si="11"/>
        <v/>
      </c>
      <c r="D73" s="55" t="str">
        <f ca="1">IF(VLOOKUP($B73, analysis_table_by_well_with_zero, 18, FALSE),CODE128(VLOOKUP($B73, analysis_table_by_well_with_zero, 3, FALSE)),"")</f>
        <v/>
      </c>
      <c r="E73" s="56" t="str">
        <f t="shared" ca="1" si="12"/>
        <v/>
      </c>
      <c r="F73" s="57" t="str">
        <f ca="1">IF(C73&lt;&gt;0,IF(COUNTIF('Per Ministero'!$A:$A,C73)&gt;0,"TROVATO","NON TROVATO"),"")</f>
        <v>TROVATO</v>
      </c>
      <c r="G73" s="58" t="str">
        <f t="shared" ca="1" si="13"/>
        <v/>
      </c>
      <c r="H73" s="59" t="str">
        <f t="shared" ca="1" si="14"/>
        <v/>
      </c>
      <c r="I73" s="60" t="str">
        <f ca="1">IF(G73&lt;&gt;"ERR",CODE128(H73),"")</f>
        <v/>
      </c>
    </row>
    <row r="74" spans="1:9" ht="52.5" customHeight="1" x14ac:dyDescent="0.15">
      <c r="A74" s="52" t="str">
        <f t="shared" si="10"/>
        <v/>
      </c>
      <c r="B74" s="53" t="s">
        <v>33</v>
      </c>
      <c r="C74" s="54" t="str">
        <f t="shared" ca="1" si="11"/>
        <v/>
      </c>
      <c r="D74" s="55" t="str">
        <f ca="1">IF(VLOOKUP($B74, analysis_table_by_well_with_zero, 18, FALSE),CODE128(VLOOKUP($B74, analysis_table_by_well_with_zero, 3, FALSE)),"")</f>
        <v/>
      </c>
      <c r="E74" s="56" t="str">
        <f t="shared" ca="1" si="12"/>
        <v/>
      </c>
      <c r="F74" s="57" t="str">
        <f ca="1">IF(C74&lt;&gt;0,IF(COUNTIF('Per Ministero'!$A:$A,C74)&gt;0,"TROVATO","NON TROVATO"),"")</f>
        <v>TROVATO</v>
      </c>
      <c r="G74" s="58" t="str">
        <f t="shared" ca="1" si="13"/>
        <v/>
      </c>
      <c r="H74" s="59" t="str">
        <f t="shared" ca="1" si="14"/>
        <v/>
      </c>
      <c r="I74" s="60" t="str">
        <f ca="1">IF(G74&lt;&gt;"ERR",CODE128(H74),"")</f>
        <v/>
      </c>
    </row>
    <row r="75" spans="1:9" ht="52.5" customHeight="1" x14ac:dyDescent="0.15">
      <c r="A75" s="52" t="str">
        <f t="shared" si="10"/>
        <v/>
      </c>
      <c r="B75" s="53" t="s">
        <v>68</v>
      </c>
      <c r="C75" s="54" t="str">
        <f t="shared" ca="1" si="11"/>
        <v/>
      </c>
      <c r="D75" s="55" t="str">
        <f ca="1">IF(VLOOKUP($B75, analysis_table_by_well_with_zero, 18, FALSE),CODE128(VLOOKUP($B75, analysis_table_by_well_with_zero, 3, FALSE)),"")</f>
        <v/>
      </c>
      <c r="E75" s="56" t="str">
        <f t="shared" ca="1" si="12"/>
        <v/>
      </c>
      <c r="F75" s="57" t="str">
        <f ca="1">IF(C75&lt;&gt;0,IF(COUNTIF('Per Ministero'!$A:$A,C75)&gt;0,"TROVATO","NON TROVATO"),"")</f>
        <v>TROVATO</v>
      </c>
      <c r="G75" s="58" t="str">
        <f t="shared" ca="1" si="13"/>
        <v/>
      </c>
      <c r="H75" s="59" t="str">
        <f t="shared" ca="1" si="14"/>
        <v/>
      </c>
      <c r="I75" s="60" t="str">
        <f ca="1">IF(G75&lt;&gt;"ERR",CODE128(H75),"")</f>
        <v/>
      </c>
    </row>
    <row r="76" spans="1:9" ht="52.5" customHeight="1" x14ac:dyDescent="0.15">
      <c r="A76" s="52" t="str">
        <f t="shared" si="10"/>
        <v/>
      </c>
      <c r="B76" s="53" t="s">
        <v>35</v>
      </c>
      <c r="C76" s="54" t="str">
        <f t="shared" ca="1" si="11"/>
        <v/>
      </c>
      <c r="D76" s="55" t="str">
        <f ca="1">IF(VLOOKUP($B76, analysis_table_by_well_with_zero, 18, FALSE),CODE128(VLOOKUP($B76, analysis_table_by_well_with_zero, 3, FALSE)),"")</f>
        <v/>
      </c>
      <c r="E76" s="56" t="str">
        <f t="shared" ca="1" si="12"/>
        <v/>
      </c>
      <c r="F76" s="57" t="str">
        <f ca="1">IF(C76&lt;&gt;0,IF(COUNTIF('Per Ministero'!$A:$A,C76)&gt;0,"TROVATO","NON TROVATO"),"")</f>
        <v>TROVATO</v>
      </c>
      <c r="G76" s="58" t="str">
        <f t="shared" ca="1" si="13"/>
        <v/>
      </c>
      <c r="H76" s="59" t="str">
        <f t="shared" ca="1" si="14"/>
        <v/>
      </c>
      <c r="I76" s="60" t="str">
        <f ca="1">IF(G76&lt;&gt;"ERR",CODE128(H76),"")</f>
        <v/>
      </c>
    </row>
    <row r="77" spans="1:9" ht="52.5" customHeight="1" x14ac:dyDescent="0.15">
      <c r="A77" s="52" t="str">
        <f t="shared" si="10"/>
        <v/>
      </c>
      <c r="B77" s="53" t="s">
        <v>40</v>
      </c>
      <c r="C77" s="54" t="str">
        <f t="shared" ca="1" si="11"/>
        <v/>
      </c>
      <c r="D77" s="55" t="str">
        <f ca="1">IF(VLOOKUP($B77, analysis_table_by_well_with_zero, 18, FALSE),CODE128(VLOOKUP($B77, analysis_table_by_well_with_zero, 3, FALSE)),"")</f>
        <v/>
      </c>
      <c r="E77" s="56" t="str">
        <f t="shared" ca="1" si="12"/>
        <v/>
      </c>
      <c r="F77" s="57" t="str">
        <f ca="1">IF(C77&lt;&gt;0,IF(COUNTIF('Per Ministero'!$A:$A,C77)&gt;0,"TROVATO","NON TROVATO"),"")</f>
        <v>TROVATO</v>
      </c>
      <c r="G77" s="58" t="str">
        <f t="shared" ca="1" si="13"/>
        <v/>
      </c>
      <c r="H77" s="59" t="str">
        <f t="shared" ca="1" si="14"/>
        <v/>
      </c>
      <c r="I77" s="60" t="str">
        <f ca="1">IF(G77&lt;&gt;"ERR",CODE128(H77),"")</f>
        <v/>
      </c>
    </row>
    <row r="78" spans="1:9" ht="52.5" customHeight="1" x14ac:dyDescent="0.15">
      <c r="A78" s="52" t="str">
        <f t="shared" si="10"/>
        <v/>
      </c>
      <c r="B78" s="53" t="s">
        <v>19</v>
      </c>
      <c r="C78" s="54" t="str">
        <f t="shared" ca="1" si="11"/>
        <v/>
      </c>
      <c r="D78" s="55" t="str">
        <f ca="1">IF(VLOOKUP($B78, analysis_table_by_well_with_zero, 18, FALSE),CODE128(VLOOKUP($B78, analysis_table_by_well_with_zero, 3, FALSE)),"")</f>
        <v/>
      </c>
      <c r="E78" s="56" t="str">
        <f t="shared" ca="1" si="12"/>
        <v/>
      </c>
      <c r="F78" s="57" t="str">
        <f ca="1">IF(C78&lt;&gt;0,IF(COUNTIF('Per Ministero'!$A:$A,C78)&gt;0,"TROVATO","NON TROVATO"),"")</f>
        <v>TROVATO</v>
      </c>
      <c r="G78" s="58" t="str">
        <f t="shared" ca="1" si="13"/>
        <v/>
      </c>
      <c r="H78" s="59" t="str">
        <f t="shared" ca="1" si="14"/>
        <v/>
      </c>
      <c r="I78" s="60" t="str">
        <f ca="1">IF(G78&lt;&gt;"ERR",CODE128(H78),"")</f>
        <v/>
      </c>
    </row>
    <row r="79" spans="1:9" ht="52.5" customHeight="1" x14ac:dyDescent="0.15">
      <c r="A79" s="52" t="str">
        <f t="shared" si="10"/>
        <v/>
      </c>
      <c r="B79" s="53" t="s">
        <v>62</v>
      </c>
      <c r="C79" s="54" t="str">
        <f t="shared" ca="1" si="11"/>
        <v/>
      </c>
      <c r="D79" s="55" t="str">
        <f ca="1">IF(VLOOKUP($B79, analysis_table_by_well_with_zero, 18, FALSE),CODE128(VLOOKUP($B79, analysis_table_by_well_with_zero, 3, FALSE)),"")</f>
        <v/>
      </c>
      <c r="E79" s="56" t="str">
        <f t="shared" ca="1" si="12"/>
        <v/>
      </c>
      <c r="F79" s="57" t="str">
        <f ca="1">IF(C79&lt;&gt;0,IF(COUNTIF('Per Ministero'!$A:$A,C79)&gt;0,"TROVATO","NON TROVATO"),"")</f>
        <v>TROVATO</v>
      </c>
      <c r="G79" s="58" t="str">
        <f t="shared" ca="1" si="13"/>
        <v/>
      </c>
      <c r="H79" s="59" t="str">
        <f t="shared" ca="1" si="14"/>
        <v/>
      </c>
      <c r="I79" s="60" t="str">
        <f ca="1">IF(G79&lt;&gt;"ERR",CODE128(H79),"")</f>
        <v/>
      </c>
    </row>
    <row r="80" spans="1:9" ht="52.5" customHeight="1" x14ac:dyDescent="0.15">
      <c r="A80" s="52" t="str">
        <f t="shared" si="10"/>
        <v/>
      </c>
      <c r="B80" s="53" t="s">
        <v>60</v>
      </c>
      <c r="C80" s="54" t="str">
        <f t="shared" ca="1" si="11"/>
        <v/>
      </c>
      <c r="D80" s="55" t="str">
        <f ca="1">IF(VLOOKUP($B80, analysis_table_by_well_with_zero, 18, FALSE),CODE128(VLOOKUP($B80, analysis_table_by_well_with_zero, 3, FALSE)),"")</f>
        <v/>
      </c>
      <c r="E80" s="56" t="str">
        <f t="shared" ca="1" si="12"/>
        <v/>
      </c>
      <c r="F80" s="57" t="str">
        <f ca="1">IF(C80&lt;&gt;0,IF(COUNTIF('Per Ministero'!$A:$A,C80)&gt;0,"TROVATO","NON TROVATO"),"")</f>
        <v>TROVATO</v>
      </c>
      <c r="G80" s="58" t="str">
        <f t="shared" ca="1" si="13"/>
        <v/>
      </c>
      <c r="H80" s="59" t="str">
        <f t="shared" ca="1" si="14"/>
        <v/>
      </c>
      <c r="I80" s="60" t="str">
        <f ca="1">IF(G80&lt;&gt;"ERR",CODE128(H80),"")</f>
        <v/>
      </c>
    </row>
    <row r="81" spans="1:9" ht="52.5" customHeight="1" x14ac:dyDescent="0.15">
      <c r="A81" s="52" t="str">
        <f t="shared" si="10"/>
        <v/>
      </c>
      <c r="B81" s="53" t="s">
        <v>61</v>
      </c>
      <c r="C81" s="54" t="str">
        <f t="shared" ca="1" si="11"/>
        <v/>
      </c>
      <c r="D81" s="55" t="str">
        <f ca="1">IF(VLOOKUP($B81, analysis_table_by_well_with_zero, 18, FALSE),CODE128(VLOOKUP($B81, analysis_table_by_well_with_zero, 3, FALSE)),"")</f>
        <v/>
      </c>
      <c r="E81" s="56" t="str">
        <f t="shared" ca="1" si="12"/>
        <v/>
      </c>
      <c r="F81" s="57" t="str">
        <f ca="1">IF(C81&lt;&gt;0,IF(COUNTIF('Per Ministero'!$A:$A,C81)&gt;0,"TROVATO","NON TROVATO"),"")</f>
        <v>TROVATO</v>
      </c>
      <c r="G81" s="58" t="str">
        <f t="shared" ca="1" si="13"/>
        <v/>
      </c>
      <c r="H81" s="59" t="str">
        <f t="shared" ca="1" si="14"/>
        <v/>
      </c>
      <c r="I81" s="60" t="str">
        <f ca="1">IF(G81&lt;&gt;"ERR",CODE128(H81),"")</f>
        <v/>
      </c>
    </row>
    <row r="82" spans="1:9" ht="52.5" customHeight="1" x14ac:dyDescent="0.15">
      <c r="A82" s="52" t="str">
        <f t="shared" si="10"/>
        <v/>
      </c>
      <c r="B82" s="53" t="s">
        <v>18</v>
      </c>
      <c r="C82" s="54" t="str">
        <f t="shared" ca="1" si="11"/>
        <v/>
      </c>
      <c r="D82" s="55" t="str">
        <f ca="1">IF(VLOOKUP($B82, analysis_table_by_well_with_zero, 18, FALSE),CODE128(VLOOKUP($B82, analysis_table_by_well_with_zero, 3, FALSE)),"")</f>
        <v/>
      </c>
      <c r="E82" s="56" t="str">
        <f t="shared" ca="1" si="12"/>
        <v/>
      </c>
      <c r="F82" s="57" t="str">
        <f ca="1">IF(C82&lt;&gt;0,IF(COUNTIF('Per Ministero'!$A:$A,C82)&gt;0,"TROVATO","NON TROVATO"),"")</f>
        <v>TROVATO</v>
      </c>
      <c r="G82" s="58" t="str">
        <f t="shared" ca="1" si="13"/>
        <v/>
      </c>
      <c r="H82" s="59" t="str">
        <f t="shared" ca="1" si="14"/>
        <v/>
      </c>
      <c r="I82" s="60" t="str">
        <f ca="1">IF(G82&lt;&gt;"ERR",CODE128(H82),"")</f>
        <v/>
      </c>
    </row>
    <row r="83" spans="1:9" ht="52.5" customHeight="1" x14ac:dyDescent="0.15">
      <c r="A83" s="52" t="str">
        <f t="shared" si="10"/>
        <v/>
      </c>
      <c r="B83" s="53" t="s">
        <v>32</v>
      </c>
      <c r="C83" s="54" t="str">
        <f t="shared" ca="1" si="11"/>
        <v/>
      </c>
      <c r="D83" s="55" t="str">
        <f ca="1">IF(VLOOKUP($B83, analysis_table_by_well_with_zero, 18, FALSE),CODE128(VLOOKUP($B83, analysis_table_by_well_with_zero, 3, FALSE)),"")</f>
        <v/>
      </c>
      <c r="E83" s="56" t="str">
        <f t="shared" ca="1" si="12"/>
        <v/>
      </c>
      <c r="F83" s="57" t="str">
        <f ca="1">IF(C83&lt;&gt;0,IF(COUNTIF('Per Ministero'!$A:$A,C83)&gt;0,"TROVATO","NON TROVATO"),"")</f>
        <v>TROVATO</v>
      </c>
      <c r="G83" s="58" t="str">
        <f t="shared" ca="1" si="13"/>
        <v/>
      </c>
      <c r="H83" s="59" t="str">
        <f t="shared" ca="1" si="14"/>
        <v/>
      </c>
      <c r="I83" s="60" t="str">
        <f ca="1">IF(G83&lt;&gt;"ERR",CODE128(H83),"")</f>
        <v/>
      </c>
    </row>
    <row r="84" spans="1:9" ht="52.5" customHeight="1" x14ac:dyDescent="0.15">
      <c r="A84" s="52" t="str">
        <f t="shared" si="10"/>
        <v/>
      </c>
      <c r="B84" s="53" t="s">
        <v>26</v>
      </c>
      <c r="C84" s="54" t="str">
        <f t="shared" ca="1" si="11"/>
        <v/>
      </c>
      <c r="D84" s="55" t="str">
        <f ca="1">IF(VLOOKUP($B84, analysis_table_by_well_with_zero, 18, FALSE),CODE128(VLOOKUP($B84, analysis_table_by_well_with_zero, 3, FALSE)),"")</f>
        <v/>
      </c>
      <c r="E84" s="56" t="str">
        <f t="shared" ca="1" si="12"/>
        <v/>
      </c>
      <c r="F84" s="57" t="str">
        <f ca="1">IF(C84&lt;&gt;0,IF(COUNTIF('Per Ministero'!$A:$A,C84)&gt;0,"TROVATO","NON TROVATO"),"")</f>
        <v>TROVATO</v>
      </c>
      <c r="G84" s="58" t="str">
        <f t="shared" ca="1" si="13"/>
        <v/>
      </c>
      <c r="H84" s="59" t="str">
        <f t="shared" ca="1" si="14"/>
        <v/>
      </c>
      <c r="I84" s="60" t="str">
        <f ca="1">IF(G84&lt;&gt;"ERR",CODE128(H84),"")</f>
        <v/>
      </c>
    </row>
    <row r="85" spans="1:9" ht="52.5" customHeight="1" x14ac:dyDescent="0.15">
      <c r="A85" s="52" t="str">
        <f t="shared" si="10"/>
        <v/>
      </c>
      <c r="B85" s="53" t="s">
        <v>160</v>
      </c>
      <c r="C85" s="54" t="str">
        <f t="shared" ca="1" si="11"/>
        <v/>
      </c>
      <c r="D85" s="55" t="str">
        <f ca="1">IF(VLOOKUP($B85, analysis_table_by_well_with_zero, 18, FALSE),CODE128(VLOOKUP($B85, analysis_table_by_well_with_zero, 3, FALSE)),"")</f>
        <v/>
      </c>
      <c r="E85" s="56" t="str">
        <f t="shared" ca="1" si="12"/>
        <v/>
      </c>
      <c r="F85" s="57" t="str">
        <f ca="1">IF(C85&lt;&gt;0,IF(COUNTIF('Per Ministero'!$A:$A,C85)&gt;0,"TROVATO","NON TROVATO"),"")</f>
        <v>TROVATO</v>
      </c>
      <c r="G85" s="58" t="str">
        <f t="shared" ca="1" si="13"/>
        <v/>
      </c>
      <c r="H85" s="59" t="str">
        <f t="shared" ca="1" si="14"/>
        <v/>
      </c>
      <c r="I85" s="60" t="str">
        <f ca="1">IF(G85&lt;&gt;"ERR",CODE128(H85),"")</f>
        <v/>
      </c>
    </row>
    <row r="86" spans="1:9" ht="52.5" customHeight="1" x14ac:dyDescent="0.15">
      <c r="A86" s="52" t="str">
        <f t="shared" si="10"/>
        <v/>
      </c>
      <c r="B86" s="53" t="s">
        <v>64</v>
      </c>
      <c r="C86" s="54" t="str">
        <f t="shared" ca="1" si="11"/>
        <v/>
      </c>
      <c r="D86" s="55" t="str">
        <f ca="1">IF(VLOOKUP($B86, analysis_table_by_well_with_zero, 18, FALSE),CODE128(VLOOKUP($B86, analysis_table_by_well_with_zero, 3, FALSE)),"")</f>
        <v/>
      </c>
      <c r="E86" s="56" t="str">
        <f t="shared" ca="1" si="12"/>
        <v/>
      </c>
      <c r="F86" s="57" t="str">
        <f ca="1">IF(C86&lt;&gt;0,IF(COUNTIF('Per Ministero'!$A:$A,C86)&gt;0,"TROVATO","NON TROVATO"),"")</f>
        <v>TROVATO</v>
      </c>
      <c r="G86" s="58" t="str">
        <f t="shared" ca="1" si="13"/>
        <v/>
      </c>
      <c r="H86" s="59" t="str">
        <f t="shared" ca="1" si="14"/>
        <v/>
      </c>
      <c r="I86" s="60" t="str">
        <f ca="1">IF(G86&lt;&gt;"ERR",CODE128(H86),"")</f>
        <v/>
      </c>
    </row>
    <row r="87" spans="1:9" ht="52.5" customHeight="1" x14ac:dyDescent="0.15">
      <c r="A87" s="52" t="str">
        <f t="shared" si="10"/>
        <v/>
      </c>
      <c r="B87" s="53" t="s">
        <v>27</v>
      </c>
      <c r="C87" s="54" t="str">
        <f t="shared" ca="1" si="11"/>
        <v/>
      </c>
      <c r="D87" s="55" t="str">
        <f ca="1">IF(VLOOKUP($B87, analysis_table_by_well_with_zero, 18, FALSE),CODE128(VLOOKUP($B87, analysis_table_by_well_with_zero, 3, FALSE)),"")</f>
        <v/>
      </c>
      <c r="E87" s="56" t="str">
        <f t="shared" ca="1" si="12"/>
        <v/>
      </c>
      <c r="F87" s="57" t="str">
        <f ca="1">IF(C87&lt;&gt;0,IF(COUNTIF('Per Ministero'!$A:$A,C87)&gt;0,"TROVATO","NON TROVATO"),"")</f>
        <v>TROVATO</v>
      </c>
      <c r="G87" s="58" t="str">
        <f t="shared" ca="1" si="13"/>
        <v/>
      </c>
      <c r="H87" s="59" t="str">
        <f t="shared" ca="1" si="14"/>
        <v/>
      </c>
      <c r="I87" s="60" t="str">
        <f ca="1">IF(G87&lt;&gt;"ERR",CODE128(H87),"")</f>
        <v/>
      </c>
    </row>
    <row r="88" spans="1:9" ht="52.5" customHeight="1" x14ac:dyDescent="0.15">
      <c r="A88" s="52" t="str">
        <f t="shared" si="10"/>
        <v/>
      </c>
      <c r="B88" s="53" t="s">
        <v>10</v>
      </c>
      <c r="C88" s="54" t="str">
        <f t="shared" ca="1" si="11"/>
        <v/>
      </c>
      <c r="D88" s="55" t="str">
        <f ca="1">IF(VLOOKUP($B88, analysis_table_by_well_with_zero, 18, FALSE),CODE128(VLOOKUP($B88, analysis_table_by_well_with_zero, 3, FALSE)),"")</f>
        <v/>
      </c>
      <c r="E88" s="56" t="str">
        <f t="shared" ca="1" si="12"/>
        <v/>
      </c>
      <c r="F88" s="57" t="str">
        <f ca="1">IF(C88&lt;&gt;0,IF(COUNTIF('Per Ministero'!$A:$A,C88)&gt;0,"TROVATO","NON TROVATO"),"")</f>
        <v>TROVATO</v>
      </c>
      <c r="G88" s="58" t="str">
        <f t="shared" ca="1" si="13"/>
        <v/>
      </c>
      <c r="H88" s="59" t="str">
        <f t="shared" ca="1" si="14"/>
        <v/>
      </c>
      <c r="I88" s="60" t="str">
        <f ca="1">IF(G88&lt;&gt;"ERR",CODE128(H88),"")</f>
        <v/>
      </c>
    </row>
    <row r="89" spans="1:9" ht="52.5" customHeight="1" x14ac:dyDescent="0.15">
      <c r="A89" s="52" t="str">
        <f t="shared" si="10"/>
        <v/>
      </c>
      <c r="B89" s="53" t="s">
        <v>53</v>
      </c>
      <c r="C89" s="54" t="str">
        <f t="shared" ca="1" si="11"/>
        <v/>
      </c>
      <c r="D89" s="55" t="str">
        <f ca="1">IF(VLOOKUP($B89, analysis_table_by_well_with_zero, 18, FALSE),CODE128(VLOOKUP($B89, analysis_table_by_well_with_zero, 3, FALSE)),"")</f>
        <v/>
      </c>
      <c r="E89" s="56" t="str">
        <f t="shared" ca="1" si="12"/>
        <v/>
      </c>
      <c r="F89" s="57" t="str">
        <f ca="1">IF(C89&lt;&gt;0,IF(COUNTIF('Per Ministero'!$A:$A,C89)&gt;0,"TROVATO","NON TROVATO"),"")</f>
        <v>TROVATO</v>
      </c>
      <c r="G89" s="58" t="str">
        <f t="shared" ca="1" si="13"/>
        <v/>
      </c>
      <c r="H89" s="59" t="str">
        <f t="shared" ca="1" si="14"/>
        <v/>
      </c>
      <c r="I89" s="60" t="str">
        <f ca="1">IF(G89&lt;&gt;"ERR",CODE128(H89),"")</f>
        <v/>
      </c>
    </row>
    <row r="90" spans="1:9" ht="52.5" customHeight="1" x14ac:dyDescent="0.15">
      <c r="A90" s="52" t="str">
        <f t="shared" si="10"/>
        <v/>
      </c>
      <c r="B90" s="53" t="s">
        <v>52</v>
      </c>
      <c r="C90" s="54" t="str">
        <f t="shared" ca="1" si="11"/>
        <v/>
      </c>
      <c r="D90" s="55" t="str">
        <f ca="1">IF(VLOOKUP($B90, analysis_table_by_well_with_zero, 18, FALSE),CODE128(VLOOKUP($B90, analysis_table_by_well_with_zero, 3, FALSE)),"")</f>
        <v/>
      </c>
      <c r="E90" s="56" t="str">
        <f t="shared" ca="1" si="12"/>
        <v/>
      </c>
      <c r="F90" s="57" t="str">
        <f ca="1">IF(C90&lt;&gt;0,IF(COUNTIF('Per Ministero'!$A:$A,C90)&gt;0,"TROVATO","NON TROVATO"),"")</f>
        <v>TROVATO</v>
      </c>
      <c r="G90" s="58" t="str">
        <f t="shared" ca="1" si="13"/>
        <v/>
      </c>
      <c r="H90" s="59" t="str">
        <f t="shared" ca="1" si="14"/>
        <v/>
      </c>
      <c r="I90" s="60" t="str">
        <f ca="1">IF(G90&lt;&gt;"ERR",CODE128(H90),"")</f>
        <v/>
      </c>
    </row>
    <row r="91" spans="1:9" ht="52.5" customHeight="1" x14ac:dyDescent="0.15">
      <c r="A91" s="52" t="str">
        <f t="shared" si="10"/>
        <v/>
      </c>
      <c r="B91" s="53" t="s">
        <v>11</v>
      </c>
      <c r="C91" s="54" t="str">
        <f t="shared" ca="1" si="11"/>
        <v/>
      </c>
      <c r="D91" s="55" t="str">
        <f ca="1">IF(VLOOKUP($B91, analysis_table_by_well_with_zero, 18, FALSE),CODE128(VLOOKUP($B91, analysis_table_by_well_with_zero, 3, FALSE)),"")</f>
        <v/>
      </c>
      <c r="E91" s="56" t="str">
        <f t="shared" ca="1" si="12"/>
        <v/>
      </c>
      <c r="F91" s="57" t="str">
        <f ca="1">IF(C91&lt;&gt;0,IF(COUNTIF('Per Ministero'!$A:$A,C91)&gt;0,"TROVATO","NON TROVATO"),"")</f>
        <v>TROVATO</v>
      </c>
      <c r="G91" s="58" t="str">
        <f t="shared" ca="1" si="13"/>
        <v/>
      </c>
      <c r="H91" s="59" t="str">
        <f t="shared" ca="1" si="14"/>
        <v/>
      </c>
      <c r="I91" s="60" t="str">
        <f ca="1">IF(G91&lt;&gt;"ERR",CODE128(H91),"")</f>
        <v/>
      </c>
    </row>
    <row r="92" spans="1:9" ht="52.5" customHeight="1" x14ac:dyDescent="0.15">
      <c r="A92" s="52" t="str">
        <f t="shared" si="10"/>
        <v/>
      </c>
      <c r="B92" s="53" t="s">
        <v>54</v>
      </c>
      <c r="C92" s="54" t="str">
        <f t="shared" ca="1" si="11"/>
        <v/>
      </c>
      <c r="D92" s="55" t="str">
        <f ca="1">IF(VLOOKUP($B92, analysis_table_by_well_with_zero, 18, FALSE),CODE128(VLOOKUP($B92, analysis_table_by_well_with_zero, 3, FALSE)),"")</f>
        <v/>
      </c>
      <c r="E92" s="56" t="str">
        <f t="shared" ca="1" si="12"/>
        <v/>
      </c>
      <c r="F92" s="57" t="str">
        <f ca="1">IF(C92&lt;&gt;0,IF(COUNTIF('Per Ministero'!$A:$A,C92)&gt;0,"TROVATO","NON TROVATO"),"")</f>
        <v>TROVATO</v>
      </c>
      <c r="G92" s="58" t="str">
        <f t="shared" ca="1" si="13"/>
        <v/>
      </c>
      <c r="H92" s="59" t="str">
        <f t="shared" ca="1" si="14"/>
        <v/>
      </c>
      <c r="I92" s="60" t="str">
        <f ca="1">IF(G92&lt;&gt;"ERR",CODE128(H92),"")</f>
        <v/>
      </c>
    </row>
    <row r="93" spans="1:9" ht="52.5" customHeight="1" x14ac:dyDescent="0.15">
      <c r="A93" s="52" t="str">
        <f t="shared" si="10"/>
        <v/>
      </c>
      <c r="B93" s="53" t="s">
        <v>31</v>
      </c>
      <c r="C93" s="54" t="str">
        <f t="shared" ca="1" si="11"/>
        <v/>
      </c>
      <c r="D93" s="55" t="str">
        <f ca="1">IF(VLOOKUP($B93, analysis_table_by_well_with_zero, 18, FALSE),CODE128(VLOOKUP($B93, analysis_table_by_well_with_zero, 3, FALSE)),"")</f>
        <v/>
      </c>
      <c r="E93" s="56" t="str">
        <f t="shared" ca="1" si="12"/>
        <v/>
      </c>
      <c r="F93" s="57" t="str">
        <f ca="1">IF(C93&lt;&gt;0,IF(COUNTIF('Per Ministero'!$A:$A,C93)&gt;0,"TROVATO","NON TROVATO"),"")</f>
        <v>TROVATO</v>
      </c>
      <c r="G93" s="58" t="str">
        <f t="shared" ca="1" si="13"/>
        <v/>
      </c>
      <c r="H93" s="59" t="str">
        <f t="shared" ca="1" si="14"/>
        <v/>
      </c>
      <c r="I93" s="60" t="str">
        <f ca="1">IF(G93&lt;&gt;"ERR",CODE128(H93),"")</f>
        <v/>
      </c>
    </row>
    <row r="94" spans="1:9" ht="52.5" customHeight="1" x14ac:dyDescent="0.15">
      <c r="A94" s="52" t="str">
        <f t="shared" si="10"/>
        <v/>
      </c>
      <c r="B94" s="53" t="s">
        <v>63</v>
      </c>
      <c r="C94" s="54" t="str">
        <f t="shared" ca="1" si="11"/>
        <v/>
      </c>
      <c r="D94" s="55" t="str">
        <f ca="1">IF(VLOOKUP($B94, analysis_table_by_well_with_zero, 18, FALSE),CODE128(VLOOKUP($B94, analysis_table_by_well_with_zero, 3, FALSE)),"")</f>
        <v/>
      </c>
      <c r="E94" s="56" t="str">
        <f t="shared" ca="1" si="12"/>
        <v/>
      </c>
      <c r="F94" s="57" t="str">
        <f ca="1">IF(C94&lt;&gt;0,IF(COUNTIF('Per Ministero'!$A:$A,C94)&gt;0,"TROVATO","NON TROVATO"),"")</f>
        <v>TROVATO</v>
      </c>
      <c r="G94" s="58" t="str">
        <f t="shared" ca="1" si="13"/>
        <v/>
      </c>
      <c r="H94" s="59" t="str">
        <f t="shared" ca="1" si="14"/>
        <v/>
      </c>
      <c r="I94" s="60" t="str">
        <f ca="1">IF(G94&lt;&gt;"ERR",CODE128(H94),"")</f>
        <v/>
      </c>
    </row>
    <row r="95" spans="1:9" ht="52.5" customHeight="1" x14ac:dyDescent="0.15">
      <c r="A95" s="52" t="str">
        <f t="shared" si="10"/>
        <v/>
      </c>
      <c r="B95" s="53" t="s">
        <v>2</v>
      </c>
      <c r="C95" s="54" t="str">
        <f t="shared" ca="1" si="11"/>
        <v/>
      </c>
      <c r="D95" s="55" t="str">
        <f ca="1">IF(VLOOKUP($B95, analysis_table_by_well_with_zero, 18, FALSE),CODE128(VLOOKUP($B95, analysis_table_by_well_with_zero, 3, FALSE)),"")</f>
        <v/>
      </c>
      <c r="E95" s="56" t="str">
        <f t="shared" ca="1" si="12"/>
        <v/>
      </c>
      <c r="F95" s="57" t="str">
        <f ca="1">IF(C95&lt;&gt;0,IF(COUNTIF('Per Ministero'!$A:$A,C95)&gt;0,"TROVATO","NON TROVATO"),"")</f>
        <v>TROVATO</v>
      </c>
      <c r="G95" s="58" t="str">
        <f t="shared" ca="1" si="13"/>
        <v/>
      </c>
      <c r="H95" s="59" t="str">
        <f t="shared" ca="1" si="14"/>
        <v/>
      </c>
      <c r="I95" s="60" t="str">
        <f ca="1">IF(G95&lt;&gt;"ERR",CODE128(H95),"")</f>
        <v/>
      </c>
    </row>
    <row r="96" spans="1:9" ht="52.5" customHeight="1" x14ac:dyDescent="0.15">
      <c r="A96" s="52" t="str">
        <f t="shared" si="10"/>
        <v/>
      </c>
      <c r="B96" s="53" t="s">
        <v>153</v>
      </c>
      <c r="C96" s="54" t="str">
        <f t="shared" ca="1" si="11"/>
        <v/>
      </c>
      <c r="D96" s="55" t="str">
        <f ca="1">IF(VLOOKUP($B96, analysis_table_by_well_with_zero, 18, FALSE),CODE128(VLOOKUP($B96, analysis_table_by_well_with_zero, 3, FALSE)),"")</f>
        <v/>
      </c>
      <c r="E96" s="56" t="str">
        <f t="shared" ca="1" si="12"/>
        <v/>
      </c>
      <c r="F96" s="57" t="str">
        <f ca="1">IF(C96&lt;&gt;0,IF(COUNTIF('Per Ministero'!$A:$A,C96)&gt;0,"TROVATO","NON TROVATO"),"")</f>
        <v>TROVATO</v>
      </c>
      <c r="G96" s="58" t="str">
        <f t="shared" ca="1" si="13"/>
        <v/>
      </c>
      <c r="H96" s="59" t="str">
        <f t="shared" ca="1" si="14"/>
        <v/>
      </c>
      <c r="I96" s="60" t="str">
        <f ca="1">IF(G96&lt;&gt;"ERR",CODE128(H96),"")</f>
        <v/>
      </c>
    </row>
    <row r="97" spans="1:12" ht="52.5" customHeight="1" thickBot="1" x14ac:dyDescent="0.2">
      <c r="A97" s="63" t="str">
        <f t="shared" si="10"/>
        <v/>
      </c>
      <c r="B97" s="64" t="s">
        <v>12</v>
      </c>
      <c r="C97" s="65" t="str">
        <f t="shared" ca="1" si="11"/>
        <v/>
      </c>
      <c r="D97" s="66" t="str">
        <f ca="1">IF(VLOOKUP($B97, analysis_table_by_well_with_zero, 18, FALSE),CODE128(VLOOKUP($B97, analysis_table_by_well_with_zero, 3, FALSE)),"")</f>
        <v/>
      </c>
      <c r="E97" s="67" t="str">
        <f t="shared" ca="1" si="12"/>
        <v/>
      </c>
      <c r="F97" s="68" t="str">
        <f ca="1">IF(C97&lt;&gt;0,IF(COUNTIF('Per Ministero'!$A:$A,C97)&gt;0,"TROVATO","NON TROVATO"),"")</f>
        <v>TROVATO</v>
      </c>
      <c r="G97" s="69" t="str">
        <f t="shared" ca="1" si="13"/>
        <v/>
      </c>
      <c r="H97" s="70" t="str">
        <f t="shared" ca="1" si="14"/>
        <v/>
      </c>
      <c r="I97" s="71" t="str">
        <f ca="1">IF(G97&lt;&gt;"ERR",CODE128(H97),"")</f>
        <v/>
      </c>
      <c r="L97" s="27"/>
    </row>
    <row r="98" spans="1:12" ht="34.5" thickTop="1" x14ac:dyDescent="0.15"/>
  </sheetData>
  <sheetProtection sheet="1" objects="1" scenarios="1" sort="0"/>
  <sortState ref="A2:I98">
    <sortCondition ref="C1"/>
  </sortState>
  <conditionalFormatting sqref="E2:E97">
    <cfRule type="containsText" dxfId="6" priority="2" operator="containsText" text="NEGATIVO">
      <formula>NOT(ISERROR(SEARCH("NEGATIVO",E2)))</formula>
    </cfRule>
    <cfRule type="cellIs" dxfId="5" priority="3" operator="equal">
      <formula>"POSITIVO"</formula>
    </cfRule>
  </conditionalFormatting>
  <conditionalFormatting sqref="H2:H97">
    <cfRule type="cellIs" dxfId="4" priority="1" operator="equal">
      <formula>"Controllo manuale"</formula>
    </cfRule>
  </conditionalFormatting>
  <pageMargins left="0.25" right="0.25" top="0.75" bottom="0.75" header="0.3" footer="0.3"/>
  <pageSetup paperSize="9" scale="9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I3246"/>
  <sheetViews>
    <sheetView workbookViewId="0"/>
  </sheetViews>
  <sheetFormatPr defaultRowHeight="10.5" x14ac:dyDescent="0.15"/>
  <cols>
    <col min="1" max="1" width="17.33203125" style="80" customWidth="1"/>
    <col min="2" max="2" width="16.6640625" style="11" bestFit="1" customWidth="1"/>
    <col min="3" max="3" width="25.5" style="11" customWidth="1"/>
    <col min="4" max="16384" width="9.33203125" style="11"/>
  </cols>
  <sheetData>
    <row r="1" spans="1:9" ht="31.5" x14ac:dyDescent="0.15">
      <c r="A1" s="78" t="s">
        <v>163</v>
      </c>
      <c r="B1" s="2" t="s">
        <v>109</v>
      </c>
      <c r="C1" s="1" t="s">
        <v>110</v>
      </c>
      <c r="D1" s="27"/>
      <c r="E1" s="27"/>
      <c r="F1" s="27"/>
      <c r="G1" s="27"/>
      <c r="I1" s="27"/>
    </row>
    <row r="2" spans="1:9" x14ac:dyDescent="0.15">
      <c r="A2" s="79"/>
      <c r="B2" s="77" t="str">
        <f t="shared" ref="B2:B65" ca="1" si="0">IFERROR(VLOOKUP(TEXT(A2,"00000000"),analysis_table_by_barcode,15,FALSE),"")</f>
        <v/>
      </c>
      <c r="C2" s="11" t="str">
        <f t="shared" ref="C2:C65" ca="1" si="1">IF($B2&lt;&gt;"", IF(VLOOKUP(B2, final_to_ministry_result,2,FALSE)&lt;&gt;"",VLOOKUP(B2, final_to_ministry_result,2,FALSE),""),"")</f>
        <v/>
      </c>
      <c r="I2" s="27"/>
    </row>
    <row r="3" spans="1:9" x14ac:dyDescent="0.15">
      <c r="A3" s="79"/>
      <c r="B3" s="77" t="str">
        <f t="shared" ca="1" si="0"/>
        <v/>
      </c>
      <c r="C3" s="11" t="str">
        <f t="shared" ca="1" si="1"/>
        <v/>
      </c>
    </row>
    <row r="4" spans="1:9" x14ac:dyDescent="0.15">
      <c r="A4" s="79"/>
      <c r="B4" s="77" t="str">
        <f t="shared" ca="1" si="0"/>
        <v/>
      </c>
      <c r="C4" s="11" t="str">
        <f t="shared" ca="1" si="1"/>
        <v/>
      </c>
    </row>
    <row r="5" spans="1:9" x14ac:dyDescent="0.15">
      <c r="A5" s="79"/>
      <c r="B5" s="77" t="str">
        <f t="shared" ca="1" si="0"/>
        <v/>
      </c>
      <c r="C5" s="11" t="str">
        <f t="shared" ca="1" si="1"/>
        <v/>
      </c>
    </row>
    <row r="6" spans="1:9" x14ac:dyDescent="0.15">
      <c r="A6" s="79"/>
      <c r="B6" s="77" t="str">
        <f t="shared" ca="1" si="0"/>
        <v/>
      </c>
      <c r="C6" s="11" t="str">
        <f t="shared" ca="1" si="1"/>
        <v/>
      </c>
    </row>
    <row r="7" spans="1:9" x14ac:dyDescent="0.15">
      <c r="A7" s="79"/>
      <c r="B7" s="77" t="str">
        <f t="shared" ca="1" si="0"/>
        <v/>
      </c>
      <c r="C7" s="11" t="str">
        <f t="shared" ca="1" si="1"/>
        <v/>
      </c>
    </row>
    <row r="8" spans="1:9" x14ac:dyDescent="0.15">
      <c r="A8" s="79"/>
      <c r="B8" s="77" t="str">
        <f t="shared" ca="1" si="0"/>
        <v/>
      </c>
      <c r="C8" s="11" t="str">
        <f t="shared" ca="1" si="1"/>
        <v/>
      </c>
    </row>
    <row r="9" spans="1:9" x14ac:dyDescent="0.15">
      <c r="A9" s="79"/>
      <c r="B9" s="77" t="str">
        <f t="shared" ca="1" si="0"/>
        <v/>
      </c>
      <c r="C9" s="11" t="str">
        <f t="shared" ca="1" si="1"/>
        <v/>
      </c>
    </row>
    <row r="10" spans="1:9" x14ac:dyDescent="0.15">
      <c r="A10" s="79"/>
      <c r="B10" s="77" t="str">
        <f t="shared" ca="1" si="0"/>
        <v/>
      </c>
      <c r="C10" s="11" t="str">
        <f t="shared" ca="1" si="1"/>
        <v/>
      </c>
    </row>
    <row r="11" spans="1:9" x14ac:dyDescent="0.15">
      <c r="A11" s="79"/>
      <c r="B11" s="77" t="str">
        <f t="shared" ca="1" si="0"/>
        <v/>
      </c>
      <c r="C11" s="11" t="str">
        <f t="shared" ca="1" si="1"/>
        <v/>
      </c>
    </row>
    <row r="12" spans="1:9" x14ac:dyDescent="0.15">
      <c r="A12" s="79"/>
      <c r="B12" s="77" t="str">
        <f t="shared" ca="1" si="0"/>
        <v/>
      </c>
      <c r="C12" s="11" t="str">
        <f t="shared" ca="1" si="1"/>
        <v/>
      </c>
    </row>
    <row r="13" spans="1:9" x14ac:dyDescent="0.15">
      <c r="A13" s="79"/>
      <c r="B13" s="77" t="str">
        <f t="shared" ca="1" si="0"/>
        <v/>
      </c>
      <c r="C13" s="11" t="str">
        <f t="shared" ca="1" si="1"/>
        <v/>
      </c>
    </row>
    <row r="14" spans="1:9" x14ac:dyDescent="0.15">
      <c r="A14" s="79"/>
      <c r="B14" s="77" t="str">
        <f t="shared" ca="1" si="0"/>
        <v/>
      </c>
      <c r="C14" s="11" t="str">
        <f t="shared" ca="1" si="1"/>
        <v/>
      </c>
    </row>
    <row r="15" spans="1:9" x14ac:dyDescent="0.15">
      <c r="A15" s="79"/>
      <c r="B15" s="77" t="str">
        <f t="shared" ca="1" si="0"/>
        <v/>
      </c>
      <c r="C15" s="11" t="str">
        <f t="shared" ca="1" si="1"/>
        <v/>
      </c>
    </row>
    <row r="16" spans="1:9" x14ac:dyDescent="0.15">
      <c r="A16" s="79"/>
      <c r="B16" s="77" t="str">
        <f t="shared" ca="1" si="0"/>
        <v/>
      </c>
      <c r="C16" s="11" t="str">
        <f t="shared" ca="1" si="1"/>
        <v/>
      </c>
    </row>
    <row r="17" spans="1:3" x14ac:dyDescent="0.15">
      <c r="A17" s="79"/>
      <c r="B17" s="77" t="str">
        <f t="shared" ca="1" si="0"/>
        <v/>
      </c>
      <c r="C17" s="11" t="str">
        <f t="shared" ca="1" si="1"/>
        <v/>
      </c>
    </row>
    <row r="18" spans="1:3" x14ac:dyDescent="0.15">
      <c r="A18" s="79"/>
      <c r="B18" s="77" t="str">
        <f t="shared" ca="1" si="0"/>
        <v/>
      </c>
      <c r="C18" s="11" t="str">
        <f t="shared" ca="1" si="1"/>
        <v/>
      </c>
    </row>
    <row r="19" spans="1:3" x14ac:dyDescent="0.15">
      <c r="A19" s="79"/>
      <c r="B19" s="77" t="str">
        <f t="shared" ca="1" si="0"/>
        <v/>
      </c>
      <c r="C19" s="11" t="str">
        <f t="shared" ca="1" si="1"/>
        <v/>
      </c>
    </row>
    <row r="20" spans="1:3" x14ac:dyDescent="0.15">
      <c r="A20" s="79"/>
      <c r="B20" s="77" t="str">
        <f t="shared" ca="1" si="0"/>
        <v/>
      </c>
      <c r="C20" s="11" t="str">
        <f t="shared" ca="1" si="1"/>
        <v/>
      </c>
    </row>
    <row r="21" spans="1:3" x14ac:dyDescent="0.15">
      <c r="A21" s="79"/>
      <c r="B21" s="77" t="str">
        <f t="shared" ca="1" si="0"/>
        <v/>
      </c>
      <c r="C21" s="11" t="str">
        <f t="shared" ca="1" si="1"/>
        <v/>
      </c>
    </row>
    <row r="22" spans="1:3" x14ac:dyDescent="0.15">
      <c r="A22" s="79"/>
      <c r="B22" s="77" t="str">
        <f t="shared" ca="1" si="0"/>
        <v/>
      </c>
      <c r="C22" s="11" t="str">
        <f t="shared" ca="1" si="1"/>
        <v/>
      </c>
    </row>
    <row r="23" spans="1:3" x14ac:dyDescent="0.15">
      <c r="A23" s="79"/>
      <c r="B23" s="77" t="str">
        <f t="shared" ca="1" si="0"/>
        <v/>
      </c>
      <c r="C23" s="11" t="str">
        <f t="shared" ca="1" si="1"/>
        <v/>
      </c>
    </row>
    <row r="24" spans="1:3" x14ac:dyDescent="0.15">
      <c r="A24" s="79"/>
      <c r="B24" s="77" t="str">
        <f t="shared" ca="1" si="0"/>
        <v/>
      </c>
      <c r="C24" s="11" t="str">
        <f t="shared" ca="1" si="1"/>
        <v/>
      </c>
    </row>
    <row r="25" spans="1:3" x14ac:dyDescent="0.15">
      <c r="A25" s="79"/>
      <c r="B25" s="77" t="str">
        <f t="shared" ca="1" si="0"/>
        <v/>
      </c>
      <c r="C25" s="11" t="str">
        <f t="shared" ca="1" si="1"/>
        <v/>
      </c>
    </row>
    <row r="26" spans="1:3" x14ac:dyDescent="0.15">
      <c r="A26" s="79"/>
      <c r="B26" s="77" t="str">
        <f t="shared" ca="1" si="0"/>
        <v/>
      </c>
      <c r="C26" s="11" t="str">
        <f t="shared" ca="1" si="1"/>
        <v/>
      </c>
    </row>
    <row r="27" spans="1:3" x14ac:dyDescent="0.15">
      <c r="A27" s="79"/>
      <c r="B27" s="77" t="str">
        <f t="shared" ca="1" si="0"/>
        <v/>
      </c>
      <c r="C27" s="11" t="str">
        <f t="shared" ca="1" si="1"/>
        <v/>
      </c>
    </row>
    <row r="28" spans="1:3" x14ac:dyDescent="0.15">
      <c r="A28" s="79"/>
      <c r="B28" s="77" t="str">
        <f t="shared" ca="1" si="0"/>
        <v/>
      </c>
      <c r="C28" s="11" t="str">
        <f t="shared" ca="1" si="1"/>
        <v/>
      </c>
    </row>
    <row r="29" spans="1:3" x14ac:dyDescent="0.15">
      <c r="A29" s="79"/>
      <c r="B29" s="77" t="str">
        <f t="shared" ca="1" si="0"/>
        <v/>
      </c>
      <c r="C29" s="11" t="str">
        <f t="shared" ca="1" si="1"/>
        <v/>
      </c>
    </row>
    <row r="30" spans="1:3" x14ac:dyDescent="0.15">
      <c r="A30" s="79"/>
      <c r="B30" s="77" t="str">
        <f t="shared" ca="1" si="0"/>
        <v/>
      </c>
      <c r="C30" s="11" t="str">
        <f t="shared" ca="1" si="1"/>
        <v/>
      </c>
    </row>
    <row r="31" spans="1:3" x14ac:dyDescent="0.15">
      <c r="A31" s="79"/>
      <c r="B31" s="77" t="str">
        <f t="shared" ca="1" si="0"/>
        <v/>
      </c>
      <c r="C31" s="11" t="str">
        <f t="shared" ca="1" si="1"/>
        <v/>
      </c>
    </row>
    <row r="32" spans="1:3" x14ac:dyDescent="0.15">
      <c r="A32" s="79"/>
      <c r="B32" s="77" t="str">
        <f t="shared" ca="1" si="0"/>
        <v/>
      </c>
      <c r="C32" s="11" t="str">
        <f t="shared" ca="1" si="1"/>
        <v/>
      </c>
    </row>
    <row r="33" spans="1:3" x14ac:dyDescent="0.15">
      <c r="A33" s="79"/>
      <c r="B33" s="77" t="str">
        <f t="shared" ca="1" si="0"/>
        <v/>
      </c>
      <c r="C33" s="11" t="str">
        <f t="shared" ca="1" si="1"/>
        <v/>
      </c>
    </row>
    <row r="34" spans="1:3" x14ac:dyDescent="0.15">
      <c r="A34" s="79"/>
      <c r="B34" s="77" t="str">
        <f t="shared" ca="1" si="0"/>
        <v/>
      </c>
      <c r="C34" s="11" t="str">
        <f t="shared" ca="1" si="1"/>
        <v/>
      </c>
    </row>
    <row r="35" spans="1:3" x14ac:dyDescent="0.15">
      <c r="A35" s="79"/>
      <c r="B35" s="77" t="str">
        <f t="shared" ca="1" si="0"/>
        <v/>
      </c>
      <c r="C35" s="11" t="str">
        <f t="shared" ca="1" si="1"/>
        <v/>
      </c>
    </row>
    <row r="36" spans="1:3" x14ac:dyDescent="0.15">
      <c r="A36" s="79"/>
      <c r="B36" s="77" t="str">
        <f t="shared" ca="1" si="0"/>
        <v/>
      </c>
      <c r="C36" s="11" t="str">
        <f t="shared" ca="1" si="1"/>
        <v/>
      </c>
    </row>
    <row r="37" spans="1:3" x14ac:dyDescent="0.15">
      <c r="A37" s="79"/>
      <c r="B37" s="77" t="str">
        <f t="shared" ca="1" si="0"/>
        <v/>
      </c>
      <c r="C37" s="11" t="str">
        <f t="shared" ca="1" si="1"/>
        <v/>
      </c>
    </row>
    <row r="38" spans="1:3" x14ac:dyDescent="0.15">
      <c r="A38" s="79"/>
      <c r="B38" s="77" t="str">
        <f t="shared" ca="1" si="0"/>
        <v/>
      </c>
      <c r="C38" s="11" t="str">
        <f t="shared" ca="1" si="1"/>
        <v/>
      </c>
    </row>
    <row r="39" spans="1:3" x14ac:dyDescent="0.15">
      <c r="A39" s="79"/>
      <c r="B39" s="77" t="str">
        <f t="shared" ca="1" si="0"/>
        <v/>
      </c>
      <c r="C39" s="11" t="str">
        <f t="shared" ca="1" si="1"/>
        <v/>
      </c>
    </row>
    <row r="40" spans="1:3" x14ac:dyDescent="0.15">
      <c r="A40" s="79"/>
      <c r="B40" s="77" t="str">
        <f t="shared" ca="1" si="0"/>
        <v/>
      </c>
      <c r="C40" s="11" t="str">
        <f t="shared" ca="1" si="1"/>
        <v/>
      </c>
    </row>
    <row r="41" spans="1:3" x14ac:dyDescent="0.15">
      <c r="A41" s="79"/>
      <c r="B41" s="77" t="str">
        <f t="shared" ca="1" si="0"/>
        <v/>
      </c>
      <c r="C41" s="11" t="str">
        <f t="shared" ca="1" si="1"/>
        <v/>
      </c>
    </row>
    <row r="42" spans="1:3" x14ac:dyDescent="0.15">
      <c r="A42" s="79"/>
      <c r="B42" s="77" t="str">
        <f t="shared" ca="1" si="0"/>
        <v/>
      </c>
      <c r="C42" s="11" t="str">
        <f t="shared" ca="1" si="1"/>
        <v/>
      </c>
    </row>
    <row r="43" spans="1:3" x14ac:dyDescent="0.15">
      <c r="A43" s="79"/>
      <c r="B43" s="77" t="str">
        <f t="shared" ca="1" si="0"/>
        <v/>
      </c>
      <c r="C43" s="11" t="str">
        <f t="shared" ca="1" si="1"/>
        <v/>
      </c>
    </row>
    <row r="44" spans="1:3" x14ac:dyDescent="0.15">
      <c r="A44" s="79"/>
      <c r="B44" s="77" t="str">
        <f t="shared" ca="1" si="0"/>
        <v/>
      </c>
      <c r="C44" s="11" t="str">
        <f t="shared" ca="1" si="1"/>
        <v/>
      </c>
    </row>
    <row r="45" spans="1:3" x14ac:dyDescent="0.15">
      <c r="A45" s="79"/>
      <c r="B45" s="77" t="str">
        <f t="shared" ca="1" si="0"/>
        <v/>
      </c>
      <c r="C45" s="11" t="str">
        <f t="shared" ca="1" si="1"/>
        <v/>
      </c>
    </row>
    <row r="46" spans="1:3" x14ac:dyDescent="0.15">
      <c r="A46" s="79"/>
      <c r="B46" s="77" t="str">
        <f t="shared" ca="1" si="0"/>
        <v/>
      </c>
      <c r="C46" s="11" t="str">
        <f t="shared" ca="1" si="1"/>
        <v/>
      </c>
    </row>
    <row r="47" spans="1:3" x14ac:dyDescent="0.15">
      <c r="A47" s="79"/>
      <c r="B47" s="77" t="str">
        <f t="shared" ca="1" si="0"/>
        <v/>
      </c>
      <c r="C47" s="11" t="str">
        <f t="shared" ca="1" si="1"/>
        <v/>
      </c>
    </row>
    <row r="48" spans="1:3" x14ac:dyDescent="0.15">
      <c r="A48" s="79"/>
      <c r="B48" s="77" t="str">
        <f t="shared" ca="1" si="0"/>
        <v/>
      </c>
      <c r="C48" s="11" t="str">
        <f t="shared" ca="1" si="1"/>
        <v/>
      </c>
    </row>
    <row r="49" spans="1:3" x14ac:dyDescent="0.15">
      <c r="A49" s="79"/>
      <c r="B49" s="77" t="str">
        <f t="shared" ca="1" si="0"/>
        <v/>
      </c>
      <c r="C49" s="11" t="str">
        <f t="shared" ca="1" si="1"/>
        <v/>
      </c>
    </row>
    <row r="50" spans="1:3" x14ac:dyDescent="0.15">
      <c r="A50" s="79"/>
      <c r="B50" s="77" t="str">
        <f t="shared" ca="1" si="0"/>
        <v/>
      </c>
      <c r="C50" s="11" t="str">
        <f t="shared" ca="1" si="1"/>
        <v/>
      </c>
    </row>
    <row r="51" spans="1:3" x14ac:dyDescent="0.15">
      <c r="A51" s="79"/>
      <c r="B51" s="77" t="str">
        <f t="shared" ca="1" si="0"/>
        <v/>
      </c>
      <c r="C51" s="11" t="str">
        <f t="shared" ca="1" si="1"/>
        <v/>
      </c>
    </row>
    <row r="52" spans="1:3" x14ac:dyDescent="0.15">
      <c r="A52" s="79"/>
      <c r="B52" s="77" t="str">
        <f t="shared" ca="1" si="0"/>
        <v/>
      </c>
      <c r="C52" s="11" t="str">
        <f t="shared" ca="1" si="1"/>
        <v/>
      </c>
    </row>
    <row r="53" spans="1:3" x14ac:dyDescent="0.15">
      <c r="A53" s="79"/>
      <c r="B53" s="77" t="str">
        <f t="shared" ca="1" si="0"/>
        <v/>
      </c>
      <c r="C53" s="11" t="str">
        <f t="shared" ca="1" si="1"/>
        <v/>
      </c>
    </row>
    <row r="54" spans="1:3" x14ac:dyDescent="0.15">
      <c r="A54" s="79"/>
      <c r="B54" s="77" t="str">
        <f t="shared" ca="1" si="0"/>
        <v/>
      </c>
      <c r="C54" s="11" t="str">
        <f t="shared" ca="1" si="1"/>
        <v/>
      </c>
    </row>
    <row r="55" spans="1:3" x14ac:dyDescent="0.15">
      <c r="A55" s="79"/>
      <c r="B55" s="77" t="str">
        <f t="shared" ca="1" si="0"/>
        <v/>
      </c>
      <c r="C55" s="11" t="str">
        <f t="shared" ca="1" si="1"/>
        <v/>
      </c>
    </row>
    <row r="56" spans="1:3" x14ac:dyDescent="0.15">
      <c r="A56" s="79"/>
      <c r="B56" s="77" t="str">
        <f t="shared" ca="1" si="0"/>
        <v/>
      </c>
      <c r="C56" s="11" t="str">
        <f t="shared" ca="1" si="1"/>
        <v/>
      </c>
    </row>
    <row r="57" spans="1:3" x14ac:dyDescent="0.15">
      <c r="A57" s="79"/>
      <c r="B57" s="77" t="str">
        <f t="shared" ca="1" si="0"/>
        <v/>
      </c>
      <c r="C57" s="11" t="str">
        <f t="shared" ca="1" si="1"/>
        <v/>
      </c>
    </row>
    <row r="58" spans="1:3" x14ac:dyDescent="0.15">
      <c r="A58" s="79"/>
      <c r="B58" s="77" t="str">
        <f t="shared" ca="1" si="0"/>
        <v/>
      </c>
      <c r="C58" s="11" t="str">
        <f t="shared" ca="1" si="1"/>
        <v/>
      </c>
    </row>
    <row r="59" spans="1:3" x14ac:dyDescent="0.15">
      <c r="A59" s="79"/>
      <c r="B59" s="77" t="str">
        <f t="shared" ca="1" si="0"/>
        <v/>
      </c>
      <c r="C59" s="11" t="str">
        <f t="shared" ca="1" si="1"/>
        <v/>
      </c>
    </row>
    <row r="60" spans="1:3" x14ac:dyDescent="0.15">
      <c r="A60" s="79"/>
      <c r="B60" s="77" t="str">
        <f t="shared" ca="1" si="0"/>
        <v/>
      </c>
      <c r="C60" s="11" t="str">
        <f t="shared" ca="1" si="1"/>
        <v/>
      </c>
    </row>
    <row r="61" spans="1:3" x14ac:dyDescent="0.15">
      <c r="A61" s="79"/>
      <c r="B61" s="77" t="str">
        <f t="shared" ca="1" si="0"/>
        <v/>
      </c>
      <c r="C61" s="11" t="str">
        <f t="shared" ca="1" si="1"/>
        <v/>
      </c>
    </row>
    <row r="62" spans="1:3" x14ac:dyDescent="0.15">
      <c r="A62" s="79"/>
      <c r="B62" s="77" t="str">
        <f t="shared" ca="1" si="0"/>
        <v/>
      </c>
      <c r="C62" s="11" t="str">
        <f t="shared" ca="1" si="1"/>
        <v/>
      </c>
    </row>
    <row r="63" spans="1:3" x14ac:dyDescent="0.15">
      <c r="A63" s="79"/>
      <c r="B63" s="77" t="str">
        <f t="shared" ca="1" si="0"/>
        <v/>
      </c>
      <c r="C63" s="11" t="str">
        <f t="shared" ca="1" si="1"/>
        <v/>
      </c>
    </row>
    <row r="64" spans="1:3" x14ac:dyDescent="0.15">
      <c r="A64" s="79"/>
      <c r="B64" s="77" t="str">
        <f t="shared" ca="1" si="0"/>
        <v/>
      </c>
      <c r="C64" s="11" t="str">
        <f t="shared" ca="1" si="1"/>
        <v/>
      </c>
    </row>
    <row r="65" spans="1:3" x14ac:dyDescent="0.15">
      <c r="A65" s="79"/>
      <c r="B65" s="77" t="str">
        <f t="shared" ca="1" si="0"/>
        <v/>
      </c>
      <c r="C65" s="11" t="str">
        <f t="shared" ca="1" si="1"/>
        <v/>
      </c>
    </row>
    <row r="66" spans="1:3" x14ac:dyDescent="0.15">
      <c r="A66" s="79"/>
      <c r="B66" s="77" t="str">
        <f t="shared" ref="B66:B129" ca="1" si="2">IFERROR(VLOOKUP(TEXT(A66,"00000000"),analysis_table_by_barcode,15,FALSE),"")</f>
        <v/>
      </c>
      <c r="C66" s="11" t="str">
        <f t="shared" ref="C66:C129" ca="1" si="3">IF($B66&lt;&gt;"", IF(VLOOKUP(B66, final_to_ministry_result,2,FALSE)&lt;&gt;"",VLOOKUP(B66, final_to_ministry_result,2,FALSE),""),"")</f>
        <v/>
      </c>
    </row>
    <row r="67" spans="1:3" x14ac:dyDescent="0.15">
      <c r="A67" s="79"/>
      <c r="B67" s="77" t="str">
        <f t="shared" ca="1" si="2"/>
        <v/>
      </c>
      <c r="C67" s="11" t="str">
        <f t="shared" ca="1" si="3"/>
        <v/>
      </c>
    </row>
    <row r="68" spans="1:3" x14ac:dyDescent="0.15">
      <c r="A68" s="79"/>
      <c r="B68" s="77" t="str">
        <f t="shared" ca="1" si="2"/>
        <v/>
      </c>
      <c r="C68" s="11" t="str">
        <f t="shared" ca="1" si="3"/>
        <v/>
      </c>
    </row>
    <row r="69" spans="1:3" x14ac:dyDescent="0.15">
      <c r="A69" s="79"/>
      <c r="B69" s="77" t="str">
        <f t="shared" ca="1" si="2"/>
        <v/>
      </c>
      <c r="C69" s="11" t="str">
        <f t="shared" ca="1" si="3"/>
        <v/>
      </c>
    </row>
    <row r="70" spans="1:3" x14ac:dyDescent="0.15">
      <c r="A70" s="79"/>
      <c r="B70" s="77" t="str">
        <f t="shared" ca="1" si="2"/>
        <v/>
      </c>
      <c r="C70" s="11" t="str">
        <f t="shared" ca="1" si="3"/>
        <v/>
      </c>
    </row>
    <row r="71" spans="1:3" x14ac:dyDescent="0.15">
      <c r="A71" s="79"/>
      <c r="B71" s="77" t="str">
        <f t="shared" ca="1" si="2"/>
        <v/>
      </c>
      <c r="C71" s="11" t="str">
        <f t="shared" ca="1" si="3"/>
        <v/>
      </c>
    </row>
    <row r="72" spans="1:3" x14ac:dyDescent="0.15">
      <c r="A72" s="79"/>
      <c r="B72" s="77" t="str">
        <f t="shared" ca="1" si="2"/>
        <v/>
      </c>
      <c r="C72" s="11" t="str">
        <f t="shared" ca="1" si="3"/>
        <v/>
      </c>
    </row>
    <row r="73" spans="1:3" x14ac:dyDescent="0.15">
      <c r="A73" s="79"/>
      <c r="B73" s="77" t="str">
        <f t="shared" ca="1" si="2"/>
        <v/>
      </c>
      <c r="C73" s="11" t="str">
        <f t="shared" ca="1" si="3"/>
        <v/>
      </c>
    </row>
    <row r="74" spans="1:3" x14ac:dyDescent="0.15">
      <c r="A74" s="79"/>
      <c r="B74" s="77" t="str">
        <f t="shared" ca="1" si="2"/>
        <v/>
      </c>
      <c r="C74" s="11" t="str">
        <f t="shared" ca="1" si="3"/>
        <v/>
      </c>
    </row>
    <row r="75" spans="1:3" x14ac:dyDescent="0.15">
      <c r="A75" s="79"/>
      <c r="B75" s="77" t="str">
        <f t="shared" ca="1" si="2"/>
        <v/>
      </c>
      <c r="C75" s="11" t="str">
        <f t="shared" ca="1" si="3"/>
        <v/>
      </c>
    </row>
    <row r="76" spans="1:3" x14ac:dyDescent="0.15">
      <c r="A76" s="79"/>
      <c r="B76" s="77" t="str">
        <f t="shared" ca="1" si="2"/>
        <v/>
      </c>
      <c r="C76" s="11" t="str">
        <f t="shared" ca="1" si="3"/>
        <v/>
      </c>
    </row>
    <row r="77" spans="1:3" x14ac:dyDescent="0.15">
      <c r="A77" s="79"/>
      <c r="B77" s="77" t="str">
        <f t="shared" ca="1" si="2"/>
        <v/>
      </c>
      <c r="C77" s="11" t="str">
        <f t="shared" ca="1" si="3"/>
        <v/>
      </c>
    </row>
    <row r="78" spans="1:3" x14ac:dyDescent="0.15">
      <c r="A78" s="79"/>
      <c r="B78" s="77" t="str">
        <f t="shared" ca="1" si="2"/>
        <v/>
      </c>
      <c r="C78" s="11" t="str">
        <f t="shared" ca="1" si="3"/>
        <v/>
      </c>
    </row>
    <row r="79" spans="1:3" x14ac:dyDescent="0.15">
      <c r="A79" s="79"/>
      <c r="B79" s="77" t="str">
        <f t="shared" ca="1" si="2"/>
        <v/>
      </c>
      <c r="C79" s="11" t="str">
        <f t="shared" ca="1" si="3"/>
        <v/>
      </c>
    </row>
    <row r="80" spans="1:3" x14ac:dyDescent="0.15">
      <c r="A80" s="79"/>
      <c r="B80" s="77" t="str">
        <f t="shared" ca="1" si="2"/>
        <v/>
      </c>
      <c r="C80" s="11" t="str">
        <f t="shared" ca="1" si="3"/>
        <v/>
      </c>
    </row>
    <row r="81" spans="1:3" x14ac:dyDescent="0.15">
      <c r="A81" s="79"/>
      <c r="B81" s="77" t="str">
        <f t="shared" ca="1" si="2"/>
        <v/>
      </c>
      <c r="C81" s="11" t="str">
        <f t="shared" ca="1" si="3"/>
        <v/>
      </c>
    </row>
    <row r="82" spans="1:3" x14ac:dyDescent="0.15">
      <c r="A82" s="79"/>
      <c r="B82" s="77" t="str">
        <f t="shared" ca="1" si="2"/>
        <v/>
      </c>
      <c r="C82" s="11" t="str">
        <f t="shared" ca="1" si="3"/>
        <v/>
      </c>
    </row>
    <row r="83" spans="1:3" x14ac:dyDescent="0.15">
      <c r="A83" s="79"/>
      <c r="B83" s="77" t="str">
        <f t="shared" ca="1" si="2"/>
        <v/>
      </c>
      <c r="C83" s="11" t="str">
        <f t="shared" ca="1" si="3"/>
        <v/>
      </c>
    </row>
    <row r="84" spans="1:3" x14ac:dyDescent="0.15">
      <c r="A84" s="79"/>
      <c r="B84" s="77" t="str">
        <f t="shared" ca="1" si="2"/>
        <v/>
      </c>
      <c r="C84" s="11" t="str">
        <f t="shared" ca="1" si="3"/>
        <v/>
      </c>
    </row>
    <row r="85" spans="1:3" x14ac:dyDescent="0.15">
      <c r="A85" s="79"/>
      <c r="B85" s="77" t="str">
        <f t="shared" ca="1" si="2"/>
        <v/>
      </c>
      <c r="C85" s="11" t="str">
        <f t="shared" ca="1" si="3"/>
        <v/>
      </c>
    </row>
    <row r="86" spans="1:3" x14ac:dyDescent="0.15">
      <c r="A86" s="79"/>
      <c r="B86" s="77" t="str">
        <f t="shared" ca="1" si="2"/>
        <v/>
      </c>
      <c r="C86" s="11" t="str">
        <f t="shared" ca="1" si="3"/>
        <v/>
      </c>
    </row>
    <row r="87" spans="1:3" x14ac:dyDescent="0.15">
      <c r="A87" s="79"/>
      <c r="B87" s="77" t="str">
        <f t="shared" ca="1" si="2"/>
        <v/>
      </c>
      <c r="C87" s="11" t="str">
        <f t="shared" ca="1" si="3"/>
        <v/>
      </c>
    </row>
    <row r="88" spans="1:3" x14ac:dyDescent="0.15">
      <c r="A88" s="79"/>
      <c r="B88" s="77" t="str">
        <f t="shared" ca="1" si="2"/>
        <v/>
      </c>
      <c r="C88" s="11" t="str">
        <f t="shared" ca="1" si="3"/>
        <v/>
      </c>
    </row>
    <row r="89" spans="1:3" x14ac:dyDescent="0.15">
      <c r="A89" s="79"/>
      <c r="B89" s="77" t="str">
        <f t="shared" ca="1" si="2"/>
        <v/>
      </c>
      <c r="C89" s="11" t="str">
        <f t="shared" ca="1" si="3"/>
        <v/>
      </c>
    </row>
    <row r="90" spans="1:3" x14ac:dyDescent="0.15">
      <c r="A90" s="79"/>
      <c r="B90" s="77" t="str">
        <f t="shared" ca="1" si="2"/>
        <v/>
      </c>
      <c r="C90" s="11" t="str">
        <f t="shared" ca="1" si="3"/>
        <v/>
      </c>
    </row>
    <row r="91" spans="1:3" x14ac:dyDescent="0.15">
      <c r="A91" s="79"/>
      <c r="B91" s="77" t="str">
        <f t="shared" ca="1" si="2"/>
        <v/>
      </c>
      <c r="C91" s="11" t="str">
        <f t="shared" ca="1" si="3"/>
        <v/>
      </c>
    </row>
    <row r="92" spans="1:3" x14ac:dyDescent="0.15">
      <c r="A92" s="79"/>
      <c r="B92" s="77" t="str">
        <f t="shared" ca="1" si="2"/>
        <v/>
      </c>
      <c r="C92" s="11" t="str">
        <f t="shared" ca="1" si="3"/>
        <v/>
      </c>
    </row>
    <row r="93" spans="1:3" x14ac:dyDescent="0.15">
      <c r="A93" s="79"/>
      <c r="B93" s="77" t="str">
        <f t="shared" ca="1" si="2"/>
        <v/>
      </c>
      <c r="C93" s="11" t="str">
        <f t="shared" ca="1" si="3"/>
        <v/>
      </c>
    </row>
    <row r="94" spans="1:3" x14ac:dyDescent="0.15">
      <c r="A94" s="79"/>
      <c r="B94" s="77" t="str">
        <f t="shared" ca="1" si="2"/>
        <v/>
      </c>
      <c r="C94" s="11" t="str">
        <f t="shared" ca="1" si="3"/>
        <v/>
      </c>
    </row>
    <row r="95" spans="1:3" x14ac:dyDescent="0.15">
      <c r="A95" s="79"/>
      <c r="B95" s="77" t="str">
        <f t="shared" ca="1" si="2"/>
        <v/>
      </c>
      <c r="C95" s="11" t="str">
        <f t="shared" ca="1" si="3"/>
        <v/>
      </c>
    </row>
    <row r="96" spans="1:3" x14ac:dyDescent="0.15">
      <c r="A96" s="79"/>
      <c r="B96" s="77" t="str">
        <f t="shared" ca="1" si="2"/>
        <v/>
      </c>
      <c r="C96" s="11" t="str">
        <f t="shared" ca="1" si="3"/>
        <v/>
      </c>
    </row>
    <row r="97" spans="1:3" x14ac:dyDescent="0.15">
      <c r="A97" s="79"/>
      <c r="B97" s="77" t="str">
        <f t="shared" ca="1" si="2"/>
        <v/>
      </c>
      <c r="C97" s="11" t="str">
        <f t="shared" ca="1" si="3"/>
        <v/>
      </c>
    </row>
    <row r="98" spans="1:3" x14ac:dyDescent="0.15">
      <c r="A98" s="79"/>
      <c r="B98" s="77" t="str">
        <f t="shared" ca="1" si="2"/>
        <v/>
      </c>
      <c r="C98" s="11" t="str">
        <f t="shared" ca="1" si="3"/>
        <v/>
      </c>
    </row>
    <row r="99" spans="1:3" x14ac:dyDescent="0.15">
      <c r="A99" s="79"/>
      <c r="B99" s="77" t="str">
        <f t="shared" ca="1" si="2"/>
        <v/>
      </c>
      <c r="C99" s="11" t="str">
        <f t="shared" ca="1" si="3"/>
        <v/>
      </c>
    </row>
    <row r="100" spans="1:3" x14ac:dyDescent="0.15">
      <c r="A100" s="79"/>
      <c r="B100" s="77" t="str">
        <f t="shared" ca="1" si="2"/>
        <v/>
      </c>
      <c r="C100" s="11" t="str">
        <f t="shared" ca="1" si="3"/>
        <v/>
      </c>
    </row>
    <row r="101" spans="1:3" x14ac:dyDescent="0.15">
      <c r="A101" s="79"/>
      <c r="B101" s="77" t="str">
        <f t="shared" ca="1" si="2"/>
        <v/>
      </c>
      <c r="C101" s="11" t="str">
        <f t="shared" ca="1" si="3"/>
        <v/>
      </c>
    </row>
    <row r="102" spans="1:3" x14ac:dyDescent="0.15">
      <c r="A102" s="79"/>
      <c r="B102" s="77" t="str">
        <f t="shared" ca="1" si="2"/>
        <v/>
      </c>
      <c r="C102" s="11" t="str">
        <f t="shared" ca="1" si="3"/>
        <v/>
      </c>
    </row>
    <row r="103" spans="1:3" x14ac:dyDescent="0.15">
      <c r="A103" s="79"/>
      <c r="B103" s="77" t="str">
        <f t="shared" ca="1" si="2"/>
        <v/>
      </c>
      <c r="C103" s="11" t="str">
        <f t="shared" ca="1" si="3"/>
        <v/>
      </c>
    </row>
    <row r="104" spans="1:3" x14ac:dyDescent="0.15">
      <c r="A104" s="79"/>
      <c r="B104" s="77" t="str">
        <f t="shared" ca="1" si="2"/>
        <v/>
      </c>
      <c r="C104" s="11" t="str">
        <f t="shared" ca="1" si="3"/>
        <v/>
      </c>
    </row>
    <row r="105" spans="1:3" x14ac:dyDescent="0.15">
      <c r="A105" s="79"/>
      <c r="B105" s="77" t="str">
        <f t="shared" ca="1" si="2"/>
        <v/>
      </c>
      <c r="C105" s="11" t="str">
        <f t="shared" ca="1" si="3"/>
        <v/>
      </c>
    </row>
    <row r="106" spans="1:3" x14ac:dyDescent="0.15">
      <c r="A106" s="79"/>
      <c r="B106" s="77" t="str">
        <f t="shared" ca="1" si="2"/>
        <v/>
      </c>
      <c r="C106" s="11" t="str">
        <f t="shared" ca="1" si="3"/>
        <v/>
      </c>
    </row>
    <row r="107" spans="1:3" x14ac:dyDescent="0.15">
      <c r="A107" s="79"/>
      <c r="B107" s="77" t="str">
        <f t="shared" ca="1" si="2"/>
        <v/>
      </c>
      <c r="C107" s="11" t="str">
        <f t="shared" ca="1" si="3"/>
        <v/>
      </c>
    </row>
    <row r="108" spans="1:3" x14ac:dyDescent="0.15">
      <c r="A108" s="79"/>
      <c r="B108" s="77" t="str">
        <f t="shared" ca="1" si="2"/>
        <v/>
      </c>
      <c r="C108" s="11" t="str">
        <f t="shared" ca="1" si="3"/>
        <v/>
      </c>
    </row>
    <row r="109" spans="1:3" x14ac:dyDescent="0.15">
      <c r="A109" s="79"/>
      <c r="B109" s="77" t="str">
        <f t="shared" ca="1" si="2"/>
        <v/>
      </c>
      <c r="C109" s="11" t="str">
        <f t="shared" ca="1" si="3"/>
        <v/>
      </c>
    </row>
    <row r="110" spans="1:3" x14ac:dyDescent="0.15">
      <c r="A110" s="79"/>
      <c r="B110" s="77" t="str">
        <f t="shared" ca="1" si="2"/>
        <v/>
      </c>
      <c r="C110" s="11" t="str">
        <f t="shared" ca="1" si="3"/>
        <v/>
      </c>
    </row>
    <row r="111" spans="1:3" x14ac:dyDescent="0.15">
      <c r="A111" s="79"/>
      <c r="B111" s="77" t="str">
        <f t="shared" ca="1" si="2"/>
        <v/>
      </c>
      <c r="C111" s="11" t="str">
        <f t="shared" ca="1" si="3"/>
        <v/>
      </c>
    </row>
    <row r="112" spans="1:3" x14ac:dyDescent="0.15">
      <c r="A112" s="79"/>
      <c r="B112" s="77" t="str">
        <f t="shared" ca="1" si="2"/>
        <v/>
      </c>
      <c r="C112" s="11" t="str">
        <f t="shared" ca="1" si="3"/>
        <v/>
      </c>
    </row>
    <row r="113" spans="1:3" x14ac:dyDescent="0.15">
      <c r="A113" s="79"/>
      <c r="B113" s="77" t="str">
        <f t="shared" ca="1" si="2"/>
        <v/>
      </c>
      <c r="C113" s="11" t="str">
        <f t="shared" ca="1" si="3"/>
        <v/>
      </c>
    </row>
    <row r="114" spans="1:3" x14ac:dyDescent="0.15">
      <c r="A114" s="79"/>
      <c r="B114" s="77" t="str">
        <f t="shared" ca="1" si="2"/>
        <v/>
      </c>
      <c r="C114" s="11" t="str">
        <f t="shared" ca="1" si="3"/>
        <v/>
      </c>
    </row>
    <row r="115" spans="1:3" x14ac:dyDescent="0.15">
      <c r="A115" s="79"/>
      <c r="B115" s="77" t="str">
        <f t="shared" ca="1" si="2"/>
        <v/>
      </c>
      <c r="C115" s="11" t="str">
        <f t="shared" ca="1" si="3"/>
        <v/>
      </c>
    </row>
    <row r="116" spans="1:3" x14ac:dyDescent="0.15">
      <c r="A116" s="79"/>
      <c r="B116" s="77" t="str">
        <f t="shared" ca="1" si="2"/>
        <v/>
      </c>
      <c r="C116" s="11" t="str">
        <f t="shared" ca="1" si="3"/>
        <v/>
      </c>
    </row>
    <row r="117" spans="1:3" x14ac:dyDescent="0.15">
      <c r="A117" s="79"/>
      <c r="B117" s="77" t="str">
        <f t="shared" ca="1" si="2"/>
        <v/>
      </c>
      <c r="C117" s="11" t="str">
        <f t="shared" ca="1" si="3"/>
        <v/>
      </c>
    </row>
    <row r="118" spans="1:3" x14ac:dyDescent="0.15">
      <c r="A118" s="79"/>
      <c r="B118" s="77" t="str">
        <f t="shared" ca="1" si="2"/>
        <v/>
      </c>
      <c r="C118" s="11" t="str">
        <f t="shared" ca="1" si="3"/>
        <v/>
      </c>
    </row>
    <row r="119" spans="1:3" x14ac:dyDescent="0.15">
      <c r="A119" s="79"/>
      <c r="B119" s="77" t="str">
        <f t="shared" ca="1" si="2"/>
        <v/>
      </c>
      <c r="C119" s="11" t="str">
        <f t="shared" ca="1" si="3"/>
        <v/>
      </c>
    </row>
    <row r="120" spans="1:3" x14ac:dyDescent="0.15">
      <c r="A120" s="79"/>
      <c r="B120" s="77" t="str">
        <f t="shared" ca="1" si="2"/>
        <v/>
      </c>
      <c r="C120" s="11" t="str">
        <f t="shared" ca="1" si="3"/>
        <v/>
      </c>
    </row>
    <row r="121" spans="1:3" x14ac:dyDescent="0.15">
      <c r="A121" s="79"/>
      <c r="B121" s="77" t="str">
        <f t="shared" ca="1" si="2"/>
        <v/>
      </c>
      <c r="C121" s="11" t="str">
        <f t="shared" ca="1" si="3"/>
        <v/>
      </c>
    </row>
    <row r="122" spans="1:3" x14ac:dyDescent="0.15">
      <c r="A122" s="79"/>
      <c r="B122" s="77" t="str">
        <f t="shared" ca="1" si="2"/>
        <v/>
      </c>
      <c r="C122" s="11" t="str">
        <f t="shared" ca="1" si="3"/>
        <v/>
      </c>
    </row>
    <row r="123" spans="1:3" x14ac:dyDescent="0.15">
      <c r="A123" s="79"/>
      <c r="B123" s="77" t="str">
        <f t="shared" ca="1" si="2"/>
        <v/>
      </c>
      <c r="C123" s="11" t="str">
        <f t="shared" ca="1" si="3"/>
        <v/>
      </c>
    </row>
    <row r="124" spans="1:3" x14ac:dyDescent="0.15">
      <c r="A124" s="79"/>
      <c r="B124" s="77" t="str">
        <f t="shared" ca="1" si="2"/>
        <v/>
      </c>
      <c r="C124" s="11" t="str">
        <f t="shared" ca="1" si="3"/>
        <v/>
      </c>
    </row>
    <row r="125" spans="1:3" x14ac:dyDescent="0.15">
      <c r="A125" s="79"/>
      <c r="B125" s="77" t="str">
        <f t="shared" ca="1" si="2"/>
        <v/>
      </c>
      <c r="C125" s="11" t="str">
        <f t="shared" ca="1" si="3"/>
        <v/>
      </c>
    </row>
    <row r="126" spans="1:3" x14ac:dyDescent="0.15">
      <c r="A126" s="79"/>
      <c r="B126" s="77" t="str">
        <f t="shared" ca="1" si="2"/>
        <v/>
      </c>
      <c r="C126" s="11" t="str">
        <f t="shared" ca="1" si="3"/>
        <v/>
      </c>
    </row>
    <row r="127" spans="1:3" x14ac:dyDescent="0.15">
      <c r="A127" s="79"/>
      <c r="B127" s="77" t="str">
        <f t="shared" ca="1" si="2"/>
        <v/>
      </c>
      <c r="C127" s="11" t="str">
        <f t="shared" ca="1" si="3"/>
        <v/>
      </c>
    </row>
    <row r="128" spans="1:3" x14ac:dyDescent="0.15">
      <c r="A128" s="79"/>
      <c r="B128" s="77" t="str">
        <f t="shared" ca="1" si="2"/>
        <v/>
      </c>
      <c r="C128" s="11" t="str">
        <f t="shared" ca="1" si="3"/>
        <v/>
      </c>
    </row>
    <row r="129" spans="1:3" x14ac:dyDescent="0.15">
      <c r="A129" s="79"/>
      <c r="B129" s="77" t="str">
        <f t="shared" ca="1" si="2"/>
        <v/>
      </c>
      <c r="C129" s="11" t="str">
        <f t="shared" ca="1" si="3"/>
        <v/>
      </c>
    </row>
    <row r="130" spans="1:3" x14ac:dyDescent="0.15">
      <c r="A130" s="79"/>
      <c r="B130" s="77" t="str">
        <f t="shared" ref="B130:B193" ca="1" si="4">IFERROR(VLOOKUP(TEXT(A130,"00000000"),analysis_table_by_barcode,15,FALSE),"")</f>
        <v/>
      </c>
      <c r="C130" s="11" t="str">
        <f t="shared" ref="C130:C193" ca="1" si="5">IF($B130&lt;&gt;"", IF(VLOOKUP(B130, final_to_ministry_result,2,FALSE)&lt;&gt;"",VLOOKUP(B130, final_to_ministry_result,2,FALSE),""),"")</f>
        <v/>
      </c>
    </row>
    <row r="131" spans="1:3" x14ac:dyDescent="0.15">
      <c r="A131" s="79"/>
      <c r="B131" s="77" t="str">
        <f t="shared" ca="1" si="4"/>
        <v/>
      </c>
      <c r="C131" s="11" t="str">
        <f t="shared" ca="1" si="5"/>
        <v/>
      </c>
    </row>
    <row r="132" spans="1:3" x14ac:dyDescent="0.15">
      <c r="A132" s="79"/>
      <c r="B132" s="77" t="str">
        <f t="shared" ca="1" si="4"/>
        <v/>
      </c>
      <c r="C132" s="11" t="str">
        <f t="shared" ca="1" si="5"/>
        <v/>
      </c>
    </row>
    <row r="133" spans="1:3" x14ac:dyDescent="0.15">
      <c r="A133" s="79"/>
      <c r="B133" s="77" t="str">
        <f t="shared" ca="1" si="4"/>
        <v/>
      </c>
      <c r="C133" s="11" t="str">
        <f t="shared" ca="1" si="5"/>
        <v/>
      </c>
    </row>
    <row r="134" spans="1:3" x14ac:dyDescent="0.15">
      <c r="A134" s="79"/>
      <c r="B134" s="77" t="str">
        <f t="shared" ca="1" si="4"/>
        <v/>
      </c>
      <c r="C134" s="11" t="str">
        <f t="shared" ca="1" si="5"/>
        <v/>
      </c>
    </row>
    <row r="135" spans="1:3" x14ac:dyDescent="0.15">
      <c r="A135" s="79"/>
      <c r="B135" s="77" t="str">
        <f t="shared" ca="1" si="4"/>
        <v/>
      </c>
      <c r="C135" s="11" t="str">
        <f t="shared" ca="1" si="5"/>
        <v/>
      </c>
    </row>
    <row r="136" spans="1:3" x14ac:dyDescent="0.15">
      <c r="A136" s="79"/>
      <c r="B136" s="77" t="str">
        <f t="shared" ca="1" si="4"/>
        <v/>
      </c>
      <c r="C136" s="11" t="str">
        <f t="shared" ca="1" si="5"/>
        <v/>
      </c>
    </row>
    <row r="137" spans="1:3" x14ac:dyDescent="0.15">
      <c r="A137" s="79"/>
      <c r="B137" s="77" t="str">
        <f t="shared" ca="1" si="4"/>
        <v/>
      </c>
      <c r="C137" s="11" t="str">
        <f t="shared" ca="1" si="5"/>
        <v/>
      </c>
    </row>
    <row r="138" spans="1:3" x14ac:dyDescent="0.15">
      <c r="A138" s="79"/>
      <c r="B138" s="77" t="str">
        <f t="shared" ca="1" si="4"/>
        <v/>
      </c>
      <c r="C138" s="11" t="str">
        <f t="shared" ca="1" si="5"/>
        <v/>
      </c>
    </row>
    <row r="139" spans="1:3" x14ac:dyDescent="0.15">
      <c r="A139" s="79"/>
      <c r="B139" s="77" t="str">
        <f t="shared" ca="1" si="4"/>
        <v/>
      </c>
      <c r="C139" s="11" t="str">
        <f t="shared" ca="1" si="5"/>
        <v/>
      </c>
    </row>
    <row r="140" spans="1:3" x14ac:dyDescent="0.15">
      <c r="A140" s="79"/>
      <c r="B140" s="77" t="str">
        <f t="shared" ca="1" si="4"/>
        <v/>
      </c>
      <c r="C140" s="11" t="str">
        <f t="shared" ca="1" si="5"/>
        <v/>
      </c>
    </row>
    <row r="141" spans="1:3" x14ac:dyDescent="0.15">
      <c r="A141" s="79"/>
      <c r="B141" s="77" t="str">
        <f t="shared" ca="1" si="4"/>
        <v/>
      </c>
      <c r="C141" s="11" t="str">
        <f t="shared" ca="1" si="5"/>
        <v/>
      </c>
    </row>
    <row r="142" spans="1:3" x14ac:dyDescent="0.15">
      <c r="A142" s="79"/>
      <c r="B142" s="77" t="str">
        <f t="shared" ca="1" si="4"/>
        <v/>
      </c>
      <c r="C142" s="11" t="str">
        <f t="shared" ca="1" si="5"/>
        <v/>
      </c>
    </row>
    <row r="143" spans="1:3" x14ac:dyDescent="0.15">
      <c r="A143" s="79"/>
      <c r="B143" s="77" t="str">
        <f t="shared" ca="1" si="4"/>
        <v/>
      </c>
      <c r="C143" s="11" t="str">
        <f t="shared" ca="1" si="5"/>
        <v/>
      </c>
    </row>
    <row r="144" spans="1:3" x14ac:dyDescent="0.15">
      <c r="A144" s="79"/>
      <c r="B144" s="77" t="str">
        <f t="shared" ca="1" si="4"/>
        <v/>
      </c>
      <c r="C144" s="11" t="str">
        <f t="shared" ca="1" si="5"/>
        <v/>
      </c>
    </row>
    <row r="145" spans="1:3" x14ac:dyDescent="0.15">
      <c r="A145" s="79"/>
      <c r="B145" s="77" t="str">
        <f t="shared" ca="1" si="4"/>
        <v/>
      </c>
      <c r="C145" s="11" t="str">
        <f t="shared" ca="1" si="5"/>
        <v/>
      </c>
    </row>
    <row r="146" spans="1:3" x14ac:dyDescent="0.15">
      <c r="A146" s="79"/>
      <c r="B146" s="77" t="str">
        <f t="shared" ca="1" si="4"/>
        <v/>
      </c>
      <c r="C146" s="11" t="str">
        <f t="shared" ca="1" si="5"/>
        <v/>
      </c>
    </row>
    <row r="147" spans="1:3" x14ac:dyDescent="0.15">
      <c r="A147" s="79"/>
      <c r="B147" s="77" t="str">
        <f t="shared" ca="1" si="4"/>
        <v/>
      </c>
      <c r="C147" s="11" t="str">
        <f t="shared" ca="1" si="5"/>
        <v/>
      </c>
    </row>
    <row r="148" spans="1:3" x14ac:dyDescent="0.15">
      <c r="A148" s="79"/>
      <c r="B148" s="77" t="str">
        <f t="shared" ca="1" si="4"/>
        <v/>
      </c>
      <c r="C148" s="11" t="str">
        <f t="shared" ca="1" si="5"/>
        <v/>
      </c>
    </row>
    <row r="149" spans="1:3" x14ac:dyDescent="0.15">
      <c r="A149" s="79"/>
      <c r="B149" s="77" t="str">
        <f t="shared" ca="1" si="4"/>
        <v/>
      </c>
      <c r="C149" s="11" t="str">
        <f t="shared" ca="1" si="5"/>
        <v/>
      </c>
    </row>
    <row r="150" spans="1:3" x14ac:dyDescent="0.15">
      <c r="A150" s="79"/>
      <c r="B150" s="77" t="str">
        <f t="shared" ca="1" si="4"/>
        <v/>
      </c>
      <c r="C150" s="11" t="str">
        <f t="shared" ca="1" si="5"/>
        <v/>
      </c>
    </row>
    <row r="151" spans="1:3" x14ac:dyDescent="0.15">
      <c r="A151" s="79"/>
      <c r="B151" s="77" t="str">
        <f t="shared" ca="1" si="4"/>
        <v/>
      </c>
      <c r="C151" s="11" t="str">
        <f t="shared" ca="1" si="5"/>
        <v/>
      </c>
    </row>
    <row r="152" spans="1:3" x14ac:dyDescent="0.15">
      <c r="A152" s="79"/>
      <c r="B152" s="77" t="str">
        <f t="shared" ca="1" si="4"/>
        <v/>
      </c>
      <c r="C152" s="11" t="str">
        <f t="shared" ca="1" si="5"/>
        <v/>
      </c>
    </row>
    <row r="153" spans="1:3" x14ac:dyDescent="0.15">
      <c r="A153" s="79"/>
      <c r="B153" s="77" t="str">
        <f t="shared" ca="1" si="4"/>
        <v/>
      </c>
      <c r="C153" s="11" t="str">
        <f t="shared" ca="1" si="5"/>
        <v/>
      </c>
    </row>
    <row r="154" spans="1:3" x14ac:dyDescent="0.15">
      <c r="A154" s="79"/>
      <c r="B154" s="77" t="str">
        <f t="shared" ca="1" si="4"/>
        <v/>
      </c>
      <c r="C154" s="11" t="str">
        <f t="shared" ca="1" si="5"/>
        <v/>
      </c>
    </row>
    <row r="155" spans="1:3" x14ac:dyDescent="0.15">
      <c r="A155" s="79"/>
      <c r="B155" s="77" t="str">
        <f t="shared" ca="1" si="4"/>
        <v/>
      </c>
      <c r="C155" s="11" t="str">
        <f t="shared" ca="1" si="5"/>
        <v/>
      </c>
    </row>
    <row r="156" spans="1:3" x14ac:dyDescent="0.15">
      <c r="A156" s="79"/>
      <c r="B156" s="77" t="str">
        <f t="shared" ca="1" si="4"/>
        <v/>
      </c>
      <c r="C156" s="11" t="str">
        <f t="shared" ca="1" si="5"/>
        <v/>
      </c>
    </row>
    <row r="157" spans="1:3" x14ac:dyDescent="0.15">
      <c r="A157" s="79"/>
      <c r="B157" s="77" t="str">
        <f t="shared" ca="1" si="4"/>
        <v/>
      </c>
      <c r="C157" s="11" t="str">
        <f t="shared" ca="1" si="5"/>
        <v/>
      </c>
    </row>
    <row r="158" spans="1:3" x14ac:dyDescent="0.15">
      <c r="A158" s="79"/>
      <c r="B158" s="77" t="str">
        <f t="shared" ca="1" si="4"/>
        <v/>
      </c>
      <c r="C158" s="11" t="str">
        <f t="shared" ca="1" si="5"/>
        <v/>
      </c>
    </row>
    <row r="159" spans="1:3" x14ac:dyDescent="0.15">
      <c r="A159" s="79"/>
      <c r="B159" s="77" t="str">
        <f t="shared" ca="1" si="4"/>
        <v/>
      </c>
      <c r="C159" s="11" t="str">
        <f t="shared" ca="1" si="5"/>
        <v/>
      </c>
    </row>
    <row r="160" spans="1:3" x14ac:dyDescent="0.15">
      <c r="A160" s="79"/>
      <c r="B160" s="77" t="str">
        <f t="shared" ca="1" si="4"/>
        <v/>
      </c>
      <c r="C160" s="11" t="str">
        <f t="shared" ca="1" si="5"/>
        <v/>
      </c>
    </row>
    <row r="161" spans="1:3" x14ac:dyDescent="0.15">
      <c r="A161" s="79"/>
      <c r="B161" s="77" t="str">
        <f t="shared" ca="1" si="4"/>
        <v/>
      </c>
      <c r="C161" s="11" t="str">
        <f t="shared" ca="1" si="5"/>
        <v/>
      </c>
    </row>
    <row r="162" spans="1:3" x14ac:dyDescent="0.15">
      <c r="A162" s="79"/>
      <c r="B162" s="77" t="str">
        <f t="shared" ca="1" si="4"/>
        <v/>
      </c>
      <c r="C162" s="11" t="str">
        <f t="shared" ca="1" si="5"/>
        <v/>
      </c>
    </row>
    <row r="163" spans="1:3" x14ac:dyDescent="0.15">
      <c r="A163" s="79"/>
      <c r="B163" s="77" t="str">
        <f t="shared" ca="1" si="4"/>
        <v/>
      </c>
      <c r="C163" s="11" t="str">
        <f t="shared" ca="1" si="5"/>
        <v/>
      </c>
    </row>
    <row r="164" spans="1:3" x14ac:dyDescent="0.15">
      <c r="A164" s="79"/>
      <c r="B164" s="77" t="str">
        <f t="shared" ca="1" si="4"/>
        <v/>
      </c>
      <c r="C164" s="11" t="str">
        <f t="shared" ca="1" si="5"/>
        <v/>
      </c>
    </row>
    <row r="165" spans="1:3" x14ac:dyDescent="0.15">
      <c r="A165" s="79"/>
      <c r="B165" s="77" t="str">
        <f t="shared" ca="1" si="4"/>
        <v/>
      </c>
      <c r="C165" s="11" t="str">
        <f t="shared" ca="1" si="5"/>
        <v/>
      </c>
    </row>
    <row r="166" spans="1:3" x14ac:dyDescent="0.15">
      <c r="A166" s="79"/>
      <c r="B166" s="77" t="str">
        <f t="shared" ca="1" si="4"/>
        <v/>
      </c>
      <c r="C166" s="11" t="str">
        <f t="shared" ca="1" si="5"/>
        <v/>
      </c>
    </row>
    <row r="167" spans="1:3" x14ac:dyDescent="0.15">
      <c r="A167" s="79"/>
      <c r="B167" s="77" t="str">
        <f t="shared" ca="1" si="4"/>
        <v/>
      </c>
      <c r="C167" s="11" t="str">
        <f t="shared" ca="1" si="5"/>
        <v/>
      </c>
    </row>
    <row r="168" spans="1:3" x14ac:dyDescent="0.15">
      <c r="A168" s="79"/>
      <c r="B168" s="77" t="str">
        <f t="shared" ca="1" si="4"/>
        <v/>
      </c>
      <c r="C168" s="11" t="str">
        <f t="shared" ca="1" si="5"/>
        <v/>
      </c>
    </row>
    <row r="169" spans="1:3" x14ac:dyDescent="0.15">
      <c r="A169" s="79"/>
      <c r="B169" s="77" t="str">
        <f t="shared" ca="1" si="4"/>
        <v/>
      </c>
      <c r="C169" s="11" t="str">
        <f t="shared" ca="1" si="5"/>
        <v/>
      </c>
    </row>
    <row r="170" spans="1:3" x14ac:dyDescent="0.15">
      <c r="A170" s="79"/>
      <c r="B170" s="77" t="str">
        <f t="shared" ca="1" si="4"/>
        <v/>
      </c>
      <c r="C170" s="11" t="str">
        <f t="shared" ca="1" si="5"/>
        <v/>
      </c>
    </row>
    <row r="171" spans="1:3" x14ac:dyDescent="0.15">
      <c r="A171" s="79"/>
      <c r="B171" s="77" t="str">
        <f t="shared" ca="1" si="4"/>
        <v/>
      </c>
      <c r="C171" s="11" t="str">
        <f t="shared" ca="1" si="5"/>
        <v/>
      </c>
    </row>
    <row r="172" spans="1:3" x14ac:dyDescent="0.15">
      <c r="A172" s="79"/>
      <c r="B172" s="77" t="str">
        <f t="shared" ca="1" si="4"/>
        <v/>
      </c>
      <c r="C172" s="11" t="str">
        <f t="shared" ca="1" si="5"/>
        <v/>
      </c>
    </row>
    <row r="173" spans="1:3" x14ac:dyDescent="0.15">
      <c r="A173" s="79"/>
      <c r="B173" s="77" t="str">
        <f t="shared" ca="1" si="4"/>
        <v/>
      </c>
      <c r="C173" s="11" t="str">
        <f t="shared" ca="1" si="5"/>
        <v/>
      </c>
    </row>
    <row r="174" spans="1:3" x14ac:dyDescent="0.15">
      <c r="A174" s="79"/>
      <c r="B174" s="77" t="str">
        <f t="shared" ca="1" si="4"/>
        <v/>
      </c>
      <c r="C174" s="11" t="str">
        <f t="shared" ca="1" si="5"/>
        <v/>
      </c>
    </row>
    <row r="175" spans="1:3" x14ac:dyDescent="0.15">
      <c r="A175" s="79"/>
      <c r="B175" s="77" t="str">
        <f t="shared" ca="1" si="4"/>
        <v/>
      </c>
      <c r="C175" s="11" t="str">
        <f t="shared" ca="1" si="5"/>
        <v/>
      </c>
    </row>
    <row r="176" spans="1:3" x14ac:dyDescent="0.15">
      <c r="A176" s="79"/>
      <c r="B176" s="77" t="str">
        <f t="shared" ca="1" si="4"/>
        <v/>
      </c>
      <c r="C176" s="11" t="str">
        <f t="shared" ca="1" si="5"/>
        <v/>
      </c>
    </row>
    <row r="177" spans="1:3" x14ac:dyDescent="0.15">
      <c r="A177" s="79"/>
      <c r="B177" s="77" t="str">
        <f t="shared" ca="1" si="4"/>
        <v/>
      </c>
      <c r="C177" s="11" t="str">
        <f t="shared" ca="1" si="5"/>
        <v/>
      </c>
    </row>
    <row r="178" spans="1:3" x14ac:dyDescent="0.15">
      <c r="A178" s="79"/>
      <c r="B178" s="77" t="str">
        <f t="shared" ca="1" si="4"/>
        <v/>
      </c>
      <c r="C178" s="11" t="str">
        <f t="shared" ca="1" si="5"/>
        <v/>
      </c>
    </row>
    <row r="179" spans="1:3" x14ac:dyDescent="0.15">
      <c r="A179" s="79"/>
      <c r="B179" s="77" t="str">
        <f t="shared" ca="1" si="4"/>
        <v/>
      </c>
      <c r="C179" s="11" t="str">
        <f t="shared" ca="1" si="5"/>
        <v/>
      </c>
    </row>
    <row r="180" spans="1:3" x14ac:dyDescent="0.15">
      <c r="A180" s="79"/>
      <c r="B180" s="77" t="str">
        <f t="shared" ca="1" si="4"/>
        <v/>
      </c>
      <c r="C180" s="11" t="str">
        <f t="shared" ca="1" si="5"/>
        <v/>
      </c>
    </row>
    <row r="181" spans="1:3" x14ac:dyDescent="0.15">
      <c r="A181" s="79"/>
      <c r="B181" s="77" t="str">
        <f t="shared" ca="1" si="4"/>
        <v/>
      </c>
      <c r="C181" s="11" t="str">
        <f t="shared" ca="1" si="5"/>
        <v/>
      </c>
    </row>
    <row r="182" spans="1:3" x14ac:dyDescent="0.15">
      <c r="A182" s="79"/>
      <c r="B182" s="77" t="str">
        <f t="shared" ca="1" si="4"/>
        <v/>
      </c>
      <c r="C182" s="11" t="str">
        <f t="shared" ca="1" si="5"/>
        <v/>
      </c>
    </row>
    <row r="183" spans="1:3" x14ac:dyDescent="0.15">
      <c r="A183" s="79"/>
      <c r="B183" s="77" t="str">
        <f t="shared" ca="1" si="4"/>
        <v/>
      </c>
      <c r="C183" s="11" t="str">
        <f t="shared" ca="1" si="5"/>
        <v/>
      </c>
    </row>
    <row r="184" spans="1:3" x14ac:dyDescent="0.15">
      <c r="A184" s="79"/>
      <c r="B184" s="77" t="str">
        <f t="shared" ca="1" si="4"/>
        <v/>
      </c>
      <c r="C184" s="11" t="str">
        <f t="shared" ca="1" si="5"/>
        <v/>
      </c>
    </row>
    <row r="185" spans="1:3" x14ac:dyDescent="0.15">
      <c r="A185" s="79"/>
      <c r="B185" s="77" t="str">
        <f t="shared" ca="1" si="4"/>
        <v/>
      </c>
      <c r="C185" s="11" t="str">
        <f t="shared" ca="1" si="5"/>
        <v/>
      </c>
    </row>
    <row r="186" spans="1:3" x14ac:dyDescent="0.15">
      <c r="A186" s="79"/>
      <c r="B186" s="77" t="str">
        <f t="shared" ca="1" si="4"/>
        <v/>
      </c>
      <c r="C186" s="11" t="str">
        <f t="shared" ca="1" si="5"/>
        <v/>
      </c>
    </row>
    <row r="187" spans="1:3" x14ac:dyDescent="0.15">
      <c r="A187" s="79"/>
      <c r="B187" s="77" t="str">
        <f t="shared" ca="1" si="4"/>
        <v/>
      </c>
      <c r="C187" s="11" t="str">
        <f t="shared" ca="1" si="5"/>
        <v/>
      </c>
    </row>
    <row r="188" spans="1:3" x14ac:dyDescent="0.15">
      <c r="A188" s="79"/>
      <c r="B188" s="77" t="str">
        <f t="shared" ca="1" si="4"/>
        <v/>
      </c>
      <c r="C188" s="11" t="str">
        <f t="shared" ca="1" si="5"/>
        <v/>
      </c>
    </row>
    <row r="189" spans="1:3" x14ac:dyDescent="0.15">
      <c r="A189" s="79"/>
      <c r="B189" s="77" t="str">
        <f t="shared" ca="1" si="4"/>
        <v/>
      </c>
      <c r="C189" s="11" t="str">
        <f t="shared" ca="1" si="5"/>
        <v/>
      </c>
    </row>
    <row r="190" spans="1:3" x14ac:dyDescent="0.15">
      <c r="A190" s="79"/>
      <c r="B190" s="77" t="str">
        <f t="shared" ca="1" si="4"/>
        <v/>
      </c>
      <c r="C190" s="11" t="str">
        <f t="shared" ca="1" si="5"/>
        <v/>
      </c>
    </row>
    <row r="191" spans="1:3" x14ac:dyDescent="0.15">
      <c r="A191" s="79"/>
      <c r="B191" s="77" t="str">
        <f t="shared" ca="1" si="4"/>
        <v/>
      </c>
      <c r="C191" s="11" t="str">
        <f t="shared" ca="1" si="5"/>
        <v/>
      </c>
    </row>
    <row r="192" spans="1:3" x14ac:dyDescent="0.15">
      <c r="A192" s="79"/>
      <c r="B192" s="77" t="str">
        <f t="shared" ca="1" si="4"/>
        <v/>
      </c>
      <c r="C192" s="11" t="str">
        <f t="shared" ca="1" si="5"/>
        <v/>
      </c>
    </row>
    <row r="193" spans="1:3" x14ac:dyDescent="0.15">
      <c r="A193" s="79"/>
      <c r="B193" s="77" t="str">
        <f t="shared" ca="1" si="4"/>
        <v/>
      </c>
      <c r="C193" s="11" t="str">
        <f t="shared" ca="1" si="5"/>
        <v/>
      </c>
    </row>
    <row r="194" spans="1:3" x14ac:dyDescent="0.15">
      <c r="A194" s="79"/>
      <c r="B194" s="77" t="str">
        <f t="shared" ref="B194:B257" ca="1" si="6">IFERROR(VLOOKUP(TEXT(A194,"00000000"),analysis_table_by_barcode,15,FALSE),"")</f>
        <v/>
      </c>
      <c r="C194" s="11" t="str">
        <f t="shared" ref="C194:C257" ca="1" si="7">IF($B194&lt;&gt;"", IF(VLOOKUP(B194, final_to_ministry_result,2,FALSE)&lt;&gt;"",VLOOKUP(B194, final_to_ministry_result,2,FALSE),""),"")</f>
        <v/>
      </c>
    </row>
    <row r="195" spans="1:3" x14ac:dyDescent="0.15">
      <c r="A195" s="79"/>
      <c r="B195" s="77" t="str">
        <f t="shared" ca="1" si="6"/>
        <v/>
      </c>
      <c r="C195" s="11" t="str">
        <f t="shared" ca="1" si="7"/>
        <v/>
      </c>
    </row>
    <row r="196" spans="1:3" x14ac:dyDescent="0.15">
      <c r="A196" s="79"/>
      <c r="B196" s="77" t="str">
        <f t="shared" ca="1" si="6"/>
        <v/>
      </c>
      <c r="C196" s="11" t="str">
        <f t="shared" ca="1" si="7"/>
        <v/>
      </c>
    </row>
    <row r="197" spans="1:3" x14ac:dyDescent="0.15">
      <c r="A197" s="79"/>
      <c r="B197" s="77" t="str">
        <f t="shared" ca="1" si="6"/>
        <v/>
      </c>
      <c r="C197" s="11" t="str">
        <f t="shared" ca="1" si="7"/>
        <v/>
      </c>
    </row>
    <row r="198" spans="1:3" x14ac:dyDescent="0.15">
      <c r="A198" s="79"/>
      <c r="B198" s="77" t="str">
        <f t="shared" ca="1" si="6"/>
        <v/>
      </c>
      <c r="C198" s="11" t="str">
        <f t="shared" ca="1" si="7"/>
        <v/>
      </c>
    </row>
    <row r="199" spans="1:3" x14ac:dyDescent="0.15">
      <c r="A199" s="79"/>
      <c r="B199" s="77" t="str">
        <f t="shared" ca="1" si="6"/>
        <v/>
      </c>
      <c r="C199" s="11" t="str">
        <f t="shared" ca="1" si="7"/>
        <v/>
      </c>
    </row>
    <row r="200" spans="1:3" x14ac:dyDescent="0.15">
      <c r="A200" s="79"/>
      <c r="B200" s="77" t="str">
        <f t="shared" ca="1" si="6"/>
        <v/>
      </c>
      <c r="C200" s="11" t="str">
        <f t="shared" ca="1" si="7"/>
        <v/>
      </c>
    </row>
    <row r="201" spans="1:3" x14ac:dyDescent="0.15">
      <c r="A201" s="79"/>
      <c r="B201" s="77" t="str">
        <f t="shared" ca="1" si="6"/>
        <v/>
      </c>
      <c r="C201" s="11" t="str">
        <f t="shared" ca="1" si="7"/>
        <v/>
      </c>
    </row>
    <row r="202" spans="1:3" x14ac:dyDescent="0.15">
      <c r="A202" s="79"/>
      <c r="B202" s="77" t="str">
        <f t="shared" ca="1" si="6"/>
        <v/>
      </c>
      <c r="C202" s="11" t="str">
        <f t="shared" ca="1" si="7"/>
        <v/>
      </c>
    </row>
    <row r="203" spans="1:3" x14ac:dyDescent="0.15">
      <c r="A203" s="79"/>
      <c r="B203" s="77" t="str">
        <f t="shared" ca="1" si="6"/>
        <v/>
      </c>
      <c r="C203" s="11" t="str">
        <f t="shared" ca="1" si="7"/>
        <v/>
      </c>
    </row>
    <row r="204" spans="1:3" x14ac:dyDescent="0.15">
      <c r="A204" s="79"/>
      <c r="B204" s="77" t="str">
        <f t="shared" ca="1" si="6"/>
        <v/>
      </c>
      <c r="C204" s="11" t="str">
        <f t="shared" ca="1" si="7"/>
        <v/>
      </c>
    </row>
    <row r="205" spans="1:3" x14ac:dyDescent="0.15">
      <c r="A205" s="79"/>
      <c r="B205" s="77" t="str">
        <f t="shared" ca="1" si="6"/>
        <v/>
      </c>
      <c r="C205" s="11" t="str">
        <f t="shared" ca="1" si="7"/>
        <v/>
      </c>
    </row>
    <row r="206" spans="1:3" x14ac:dyDescent="0.15">
      <c r="A206" s="79"/>
      <c r="B206" s="77" t="str">
        <f t="shared" ca="1" si="6"/>
        <v/>
      </c>
      <c r="C206" s="11" t="str">
        <f t="shared" ca="1" si="7"/>
        <v/>
      </c>
    </row>
    <row r="207" spans="1:3" x14ac:dyDescent="0.15">
      <c r="A207" s="79"/>
      <c r="B207" s="77" t="str">
        <f t="shared" ca="1" si="6"/>
        <v/>
      </c>
      <c r="C207" s="11" t="str">
        <f t="shared" ca="1" si="7"/>
        <v/>
      </c>
    </row>
    <row r="208" spans="1:3" x14ac:dyDescent="0.15">
      <c r="A208" s="79"/>
      <c r="B208" s="77" t="str">
        <f t="shared" ca="1" si="6"/>
        <v/>
      </c>
      <c r="C208" s="11" t="str">
        <f t="shared" ca="1" si="7"/>
        <v/>
      </c>
    </row>
    <row r="209" spans="1:3" x14ac:dyDescent="0.15">
      <c r="A209" s="79"/>
      <c r="B209" s="77" t="str">
        <f t="shared" ca="1" si="6"/>
        <v/>
      </c>
      <c r="C209" s="11" t="str">
        <f t="shared" ca="1" si="7"/>
        <v/>
      </c>
    </row>
    <row r="210" spans="1:3" x14ac:dyDescent="0.15">
      <c r="A210" s="79"/>
      <c r="B210" s="77" t="str">
        <f t="shared" ca="1" si="6"/>
        <v/>
      </c>
      <c r="C210" s="11" t="str">
        <f t="shared" ca="1" si="7"/>
        <v/>
      </c>
    </row>
    <row r="211" spans="1:3" x14ac:dyDescent="0.15">
      <c r="A211" s="79"/>
      <c r="B211" s="77" t="str">
        <f t="shared" ca="1" si="6"/>
        <v/>
      </c>
      <c r="C211" s="11" t="str">
        <f t="shared" ca="1" si="7"/>
        <v/>
      </c>
    </row>
    <row r="212" spans="1:3" x14ac:dyDescent="0.15">
      <c r="A212" s="79"/>
      <c r="B212" s="77" t="str">
        <f t="shared" ca="1" si="6"/>
        <v/>
      </c>
      <c r="C212" s="11" t="str">
        <f t="shared" ca="1" si="7"/>
        <v/>
      </c>
    </row>
    <row r="213" spans="1:3" x14ac:dyDescent="0.15">
      <c r="A213" s="79"/>
      <c r="B213" s="77" t="str">
        <f t="shared" ca="1" si="6"/>
        <v/>
      </c>
      <c r="C213" s="11" t="str">
        <f t="shared" ca="1" si="7"/>
        <v/>
      </c>
    </row>
    <row r="214" spans="1:3" x14ac:dyDescent="0.15">
      <c r="A214" s="79"/>
      <c r="B214" s="77" t="str">
        <f t="shared" ca="1" si="6"/>
        <v/>
      </c>
      <c r="C214" s="11" t="str">
        <f t="shared" ca="1" si="7"/>
        <v/>
      </c>
    </row>
    <row r="215" spans="1:3" x14ac:dyDescent="0.15">
      <c r="A215" s="79"/>
      <c r="B215" s="77" t="str">
        <f t="shared" ca="1" si="6"/>
        <v/>
      </c>
      <c r="C215" s="11" t="str">
        <f t="shared" ca="1" si="7"/>
        <v/>
      </c>
    </row>
    <row r="216" spans="1:3" x14ac:dyDescent="0.15">
      <c r="A216" s="79"/>
      <c r="B216" s="77" t="str">
        <f t="shared" ca="1" si="6"/>
        <v/>
      </c>
      <c r="C216" s="11" t="str">
        <f t="shared" ca="1" si="7"/>
        <v/>
      </c>
    </row>
    <row r="217" spans="1:3" x14ac:dyDescent="0.15">
      <c r="A217" s="79"/>
      <c r="B217" s="77" t="str">
        <f t="shared" ca="1" si="6"/>
        <v/>
      </c>
      <c r="C217" s="11" t="str">
        <f t="shared" ca="1" si="7"/>
        <v/>
      </c>
    </row>
    <row r="218" spans="1:3" x14ac:dyDescent="0.15">
      <c r="A218" s="79"/>
      <c r="B218" s="77" t="str">
        <f t="shared" ca="1" si="6"/>
        <v/>
      </c>
      <c r="C218" s="11" t="str">
        <f t="shared" ca="1" si="7"/>
        <v/>
      </c>
    </row>
    <row r="219" spans="1:3" x14ac:dyDescent="0.15">
      <c r="A219" s="79"/>
      <c r="B219" s="77" t="str">
        <f t="shared" ca="1" si="6"/>
        <v/>
      </c>
      <c r="C219" s="11" t="str">
        <f t="shared" ca="1" si="7"/>
        <v/>
      </c>
    </row>
    <row r="220" spans="1:3" x14ac:dyDescent="0.15">
      <c r="A220" s="79"/>
      <c r="B220" s="77" t="str">
        <f t="shared" ca="1" si="6"/>
        <v/>
      </c>
      <c r="C220" s="11" t="str">
        <f t="shared" ca="1" si="7"/>
        <v/>
      </c>
    </row>
    <row r="221" spans="1:3" x14ac:dyDescent="0.15">
      <c r="A221" s="79"/>
      <c r="B221" s="77" t="str">
        <f t="shared" ca="1" si="6"/>
        <v/>
      </c>
      <c r="C221" s="11" t="str">
        <f t="shared" ca="1" si="7"/>
        <v/>
      </c>
    </row>
    <row r="222" spans="1:3" x14ac:dyDescent="0.15">
      <c r="A222" s="79"/>
      <c r="B222" s="77" t="str">
        <f t="shared" ca="1" si="6"/>
        <v/>
      </c>
      <c r="C222" s="11" t="str">
        <f t="shared" ca="1" si="7"/>
        <v/>
      </c>
    </row>
    <row r="223" spans="1:3" x14ac:dyDescent="0.15">
      <c r="A223" s="79"/>
      <c r="B223" s="77" t="str">
        <f t="shared" ca="1" si="6"/>
        <v/>
      </c>
      <c r="C223" s="11" t="str">
        <f t="shared" ca="1" si="7"/>
        <v/>
      </c>
    </row>
    <row r="224" spans="1:3" x14ac:dyDescent="0.15">
      <c r="A224" s="79"/>
      <c r="B224" s="77" t="str">
        <f t="shared" ca="1" si="6"/>
        <v/>
      </c>
      <c r="C224" s="11" t="str">
        <f t="shared" ca="1" si="7"/>
        <v/>
      </c>
    </row>
    <row r="225" spans="1:3" x14ac:dyDescent="0.15">
      <c r="A225" s="79"/>
      <c r="B225" s="77" t="str">
        <f t="shared" ca="1" si="6"/>
        <v/>
      </c>
      <c r="C225" s="11" t="str">
        <f t="shared" ca="1" si="7"/>
        <v/>
      </c>
    </row>
    <row r="226" spans="1:3" x14ac:dyDescent="0.15">
      <c r="A226" s="79"/>
      <c r="B226" s="77" t="str">
        <f t="shared" ca="1" si="6"/>
        <v/>
      </c>
      <c r="C226" s="11" t="str">
        <f t="shared" ca="1" si="7"/>
        <v/>
      </c>
    </row>
    <row r="227" spans="1:3" x14ac:dyDescent="0.15">
      <c r="A227" s="79"/>
      <c r="B227" s="77" t="str">
        <f t="shared" ca="1" si="6"/>
        <v/>
      </c>
      <c r="C227" s="11" t="str">
        <f t="shared" ca="1" si="7"/>
        <v/>
      </c>
    </row>
    <row r="228" spans="1:3" x14ac:dyDescent="0.15">
      <c r="A228" s="79"/>
      <c r="B228" s="77" t="str">
        <f t="shared" ca="1" si="6"/>
        <v/>
      </c>
      <c r="C228" s="11" t="str">
        <f t="shared" ca="1" si="7"/>
        <v/>
      </c>
    </row>
    <row r="229" spans="1:3" x14ac:dyDescent="0.15">
      <c r="A229" s="79"/>
      <c r="B229" s="77" t="str">
        <f t="shared" ca="1" si="6"/>
        <v/>
      </c>
      <c r="C229" s="11" t="str">
        <f t="shared" ca="1" si="7"/>
        <v/>
      </c>
    </row>
    <row r="230" spans="1:3" x14ac:dyDescent="0.15">
      <c r="A230" s="79"/>
      <c r="B230" s="77" t="str">
        <f t="shared" ca="1" si="6"/>
        <v/>
      </c>
      <c r="C230" s="11" t="str">
        <f t="shared" ca="1" si="7"/>
        <v/>
      </c>
    </row>
    <row r="231" spans="1:3" x14ac:dyDescent="0.15">
      <c r="A231" s="79"/>
      <c r="B231" s="77" t="str">
        <f t="shared" ca="1" si="6"/>
        <v/>
      </c>
      <c r="C231" s="11" t="str">
        <f t="shared" ca="1" si="7"/>
        <v/>
      </c>
    </row>
    <row r="232" spans="1:3" x14ac:dyDescent="0.15">
      <c r="A232" s="79"/>
      <c r="B232" s="77" t="str">
        <f t="shared" ca="1" si="6"/>
        <v/>
      </c>
      <c r="C232" s="11" t="str">
        <f t="shared" ca="1" si="7"/>
        <v/>
      </c>
    </row>
    <row r="233" spans="1:3" x14ac:dyDescent="0.15">
      <c r="A233" s="79"/>
      <c r="B233" s="77" t="str">
        <f t="shared" ca="1" si="6"/>
        <v/>
      </c>
      <c r="C233" s="11" t="str">
        <f t="shared" ca="1" si="7"/>
        <v/>
      </c>
    </row>
    <row r="234" spans="1:3" x14ac:dyDescent="0.15">
      <c r="A234" s="79"/>
      <c r="B234" s="77" t="str">
        <f t="shared" ca="1" si="6"/>
        <v/>
      </c>
      <c r="C234" s="11" t="str">
        <f t="shared" ca="1" si="7"/>
        <v/>
      </c>
    </row>
    <row r="235" spans="1:3" x14ac:dyDescent="0.15">
      <c r="A235" s="79"/>
      <c r="B235" s="77" t="str">
        <f t="shared" ca="1" si="6"/>
        <v/>
      </c>
      <c r="C235" s="11" t="str">
        <f t="shared" ca="1" si="7"/>
        <v/>
      </c>
    </row>
    <row r="236" spans="1:3" x14ac:dyDescent="0.15">
      <c r="A236" s="79"/>
      <c r="B236" s="77" t="str">
        <f t="shared" ca="1" si="6"/>
        <v/>
      </c>
      <c r="C236" s="11" t="str">
        <f t="shared" ca="1" si="7"/>
        <v/>
      </c>
    </row>
    <row r="237" spans="1:3" x14ac:dyDescent="0.15">
      <c r="A237" s="79"/>
      <c r="B237" s="77" t="str">
        <f t="shared" ca="1" si="6"/>
        <v/>
      </c>
      <c r="C237" s="11" t="str">
        <f t="shared" ca="1" si="7"/>
        <v/>
      </c>
    </row>
    <row r="238" spans="1:3" x14ac:dyDescent="0.15">
      <c r="A238" s="79"/>
      <c r="B238" s="77" t="str">
        <f t="shared" ca="1" si="6"/>
        <v/>
      </c>
      <c r="C238" s="11" t="str">
        <f t="shared" ca="1" si="7"/>
        <v/>
      </c>
    </row>
    <row r="239" spans="1:3" x14ac:dyDescent="0.15">
      <c r="A239" s="79"/>
      <c r="B239" s="77" t="str">
        <f t="shared" ca="1" si="6"/>
        <v/>
      </c>
      <c r="C239" s="11" t="str">
        <f t="shared" ca="1" si="7"/>
        <v/>
      </c>
    </row>
    <row r="240" spans="1:3" x14ac:dyDescent="0.15">
      <c r="A240" s="79"/>
      <c r="B240" s="77" t="str">
        <f t="shared" ca="1" si="6"/>
        <v/>
      </c>
      <c r="C240" s="11" t="str">
        <f t="shared" ca="1" si="7"/>
        <v/>
      </c>
    </row>
    <row r="241" spans="1:3" x14ac:dyDescent="0.15">
      <c r="A241" s="79"/>
      <c r="B241" s="77" t="str">
        <f t="shared" ca="1" si="6"/>
        <v/>
      </c>
      <c r="C241" s="11" t="str">
        <f t="shared" ca="1" si="7"/>
        <v/>
      </c>
    </row>
    <row r="242" spans="1:3" x14ac:dyDescent="0.15">
      <c r="A242" s="79"/>
      <c r="B242" s="77" t="str">
        <f t="shared" ca="1" si="6"/>
        <v/>
      </c>
      <c r="C242" s="11" t="str">
        <f t="shared" ca="1" si="7"/>
        <v/>
      </c>
    </row>
    <row r="243" spans="1:3" x14ac:dyDescent="0.15">
      <c r="A243" s="79"/>
      <c r="B243" s="77" t="str">
        <f t="shared" ca="1" si="6"/>
        <v/>
      </c>
      <c r="C243" s="11" t="str">
        <f t="shared" ca="1" si="7"/>
        <v/>
      </c>
    </row>
    <row r="244" spans="1:3" x14ac:dyDescent="0.15">
      <c r="A244" s="79"/>
      <c r="B244" s="77" t="str">
        <f t="shared" ca="1" si="6"/>
        <v/>
      </c>
      <c r="C244" s="11" t="str">
        <f t="shared" ca="1" si="7"/>
        <v/>
      </c>
    </row>
    <row r="245" spans="1:3" x14ac:dyDescent="0.15">
      <c r="A245" s="79"/>
      <c r="B245" s="77" t="str">
        <f t="shared" ca="1" si="6"/>
        <v/>
      </c>
      <c r="C245" s="11" t="str">
        <f t="shared" ca="1" si="7"/>
        <v/>
      </c>
    </row>
    <row r="246" spans="1:3" x14ac:dyDescent="0.15">
      <c r="A246" s="79"/>
      <c r="B246" s="77" t="str">
        <f t="shared" ca="1" si="6"/>
        <v/>
      </c>
      <c r="C246" s="11" t="str">
        <f t="shared" ca="1" si="7"/>
        <v/>
      </c>
    </row>
    <row r="247" spans="1:3" x14ac:dyDescent="0.15">
      <c r="A247" s="79"/>
      <c r="B247" s="77" t="str">
        <f t="shared" ca="1" si="6"/>
        <v/>
      </c>
      <c r="C247" s="11" t="str">
        <f t="shared" ca="1" si="7"/>
        <v/>
      </c>
    </row>
    <row r="248" spans="1:3" x14ac:dyDescent="0.15">
      <c r="A248" s="79"/>
      <c r="B248" s="77" t="str">
        <f t="shared" ca="1" si="6"/>
        <v/>
      </c>
      <c r="C248" s="11" t="str">
        <f t="shared" ca="1" si="7"/>
        <v/>
      </c>
    </row>
    <row r="249" spans="1:3" x14ac:dyDescent="0.15">
      <c r="A249" s="79"/>
      <c r="B249" s="77" t="str">
        <f t="shared" ca="1" si="6"/>
        <v/>
      </c>
      <c r="C249" s="11" t="str">
        <f t="shared" ca="1" si="7"/>
        <v/>
      </c>
    </row>
    <row r="250" spans="1:3" x14ac:dyDescent="0.15">
      <c r="A250" s="79"/>
      <c r="B250" s="77" t="str">
        <f t="shared" ca="1" si="6"/>
        <v/>
      </c>
      <c r="C250" s="11" t="str">
        <f t="shared" ca="1" si="7"/>
        <v/>
      </c>
    </row>
    <row r="251" spans="1:3" x14ac:dyDescent="0.15">
      <c r="A251" s="79"/>
      <c r="B251" s="77" t="str">
        <f t="shared" ca="1" si="6"/>
        <v/>
      </c>
      <c r="C251" s="11" t="str">
        <f t="shared" ca="1" si="7"/>
        <v/>
      </c>
    </row>
    <row r="252" spans="1:3" x14ac:dyDescent="0.15">
      <c r="A252" s="79"/>
      <c r="B252" s="77" t="str">
        <f t="shared" ca="1" si="6"/>
        <v/>
      </c>
      <c r="C252" s="11" t="str">
        <f t="shared" ca="1" si="7"/>
        <v/>
      </c>
    </row>
    <row r="253" spans="1:3" x14ac:dyDescent="0.15">
      <c r="A253" s="79"/>
      <c r="B253" s="77" t="str">
        <f t="shared" ca="1" si="6"/>
        <v/>
      </c>
      <c r="C253" s="11" t="str">
        <f t="shared" ca="1" si="7"/>
        <v/>
      </c>
    </row>
    <row r="254" spans="1:3" x14ac:dyDescent="0.15">
      <c r="A254" s="79"/>
      <c r="B254" s="77" t="str">
        <f t="shared" ca="1" si="6"/>
        <v/>
      </c>
      <c r="C254" s="11" t="str">
        <f t="shared" ca="1" si="7"/>
        <v/>
      </c>
    </row>
    <row r="255" spans="1:3" x14ac:dyDescent="0.15">
      <c r="A255" s="79"/>
      <c r="B255" s="77" t="str">
        <f t="shared" ca="1" si="6"/>
        <v/>
      </c>
      <c r="C255" s="11" t="str">
        <f t="shared" ca="1" si="7"/>
        <v/>
      </c>
    </row>
    <row r="256" spans="1:3" x14ac:dyDescent="0.15">
      <c r="A256" s="79"/>
      <c r="B256" s="77" t="str">
        <f t="shared" ca="1" si="6"/>
        <v/>
      </c>
      <c r="C256" s="11" t="str">
        <f t="shared" ca="1" si="7"/>
        <v/>
      </c>
    </row>
    <row r="257" spans="1:3" x14ac:dyDescent="0.15">
      <c r="A257" s="79"/>
      <c r="B257" s="77" t="str">
        <f t="shared" ca="1" si="6"/>
        <v/>
      </c>
      <c r="C257" s="11" t="str">
        <f t="shared" ca="1" si="7"/>
        <v/>
      </c>
    </row>
    <row r="258" spans="1:3" x14ac:dyDescent="0.15">
      <c r="A258" s="79"/>
      <c r="B258" s="77" t="str">
        <f t="shared" ref="B258:B321" ca="1" si="8">IFERROR(VLOOKUP(TEXT(A258,"00000000"),analysis_table_by_barcode,15,FALSE),"")</f>
        <v/>
      </c>
      <c r="C258" s="11" t="str">
        <f t="shared" ref="C258:C321" ca="1" si="9">IF($B258&lt;&gt;"", IF(VLOOKUP(B258, final_to_ministry_result,2,FALSE)&lt;&gt;"",VLOOKUP(B258, final_to_ministry_result,2,FALSE),""),"")</f>
        <v/>
      </c>
    </row>
    <row r="259" spans="1:3" x14ac:dyDescent="0.15">
      <c r="A259" s="79"/>
      <c r="B259" s="77" t="str">
        <f t="shared" ca="1" si="8"/>
        <v/>
      </c>
      <c r="C259" s="11" t="str">
        <f t="shared" ca="1" si="9"/>
        <v/>
      </c>
    </row>
    <row r="260" spans="1:3" x14ac:dyDescent="0.15">
      <c r="A260" s="79"/>
      <c r="B260" s="77" t="str">
        <f t="shared" ca="1" si="8"/>
        <v/>
      </c>
      <c r="C260" s="11" t="str">
        <f t="shared" ca="1" si="9"/>
        <v/>
      </c>
    </row>
    <row r="261" spans="1:3" x14ac:dyDescent="0.15">
      <c r="A261" s="79"/>
      <c r="B261" s="77" t="str">
        <f t="shared" ca="1" si="8"/>
        <v/>
      </c>
      <c r="C261" s="11" t="str">
        <f t="shared" ca="1" si="9"/>
        <v/>
      </c>
    </row>
    <row r="262" spans="1:3" x14ac:dyDescent="0.15">
      <c r="A262" s="79"/>
      <c r="B262" s="77" t="str">
        <f t="shared" ca="1" si="8"/>
        <v/>
      </c>
      <c r="C262" s="11" t="str">
        <f t="shared" ca="1" si="9"/>
        <v/>
      </c>
    </row>
    <row r="263" spans="1:3" x14ac:dyDescent="0.15">
      <c r="A263" s="79"/>
      <c r="B263" s="77" t="str">
        <f t="shared" ca="1" si="8"/>
        <v/>
      </c>
      <c r="C263" s="11" t="str">
        <f t="shared" ca="1" si="9"/>
        <v/>
      </c>
    </row>
    <row r="264" spans="1:3" x14ac:dyDescent="0.15">
      <c r="A264" s="79"/>
      <c r="B264" s="77" t="str">
        <f t="shared" ca="1" si="8"/>
        <v/>
      </c>
      <c r="C264" s="11" t="str">
        <f t="shared" ca="1" si="9"/>
        <v/>
      </c>
    </row>
    <row r="265" spans="1:3" x14ac:dyDescent="0.15">
      <c r="A265" s="79"/>
      <c r="B265" s="77" t="str">
        <f t="shared" ca="1" si="8"/>
        <v/>
      </c>
      <c r="C265" s="11" t="str">
        <f t="shared" ca="1" si="9"/>
        <v/>
      </c>
    </row>
    <row r="266" spans="1:3" x14ac:dyDescent="0.15">
      <c r="A266" s="79"/>
      <c r="B266" s="77" t="str">
        <f t="shared" ca="1" si="8"/>
        <v/>
      </c>
      <c r="C266" s="11" t="str">
        <f t="shared" ca="1" si="9"/>
        <v/>
      </c>
    </row>
    <row r="267" spans="1:3" x14ac:dyDescent="0.15">
      <c r="A267" s="79"/>
      <c r="B267" s="77" t="str">
        <f t="shared" ca="1" si="8"/>
        <v/>
      </c>
      <c r="C267" s="11" t="str">
        <f t="shared" ca="1" si="9"/>
        <v/>
      </c>
    </row>
    <row r="268" spans="1:3" x14ac:dyDescent="0.15">
      <c r="A268" s="79"/>
      <c r="B268" s="77" t="str">
        <f t="shared" ca="1" si="8"/>
        <v/>
      </c>
      <c r="C268" s="11" t="str">
        <f t="shared" ca="1" si="9"/>
        <v/>
      </c>
    </row>
    <row r="269" spans="1:3" x14ac:dyDescent="0.15">
      <c r="A269" s="79"/>
      <c r="B269" s="77" t="str">
        <f t="shared" ca="1" si="8"/>
        <v/>
      </c>
      <c r="C269" s="11" t="str">
        <f t="shared" ca="1" si="9"/>
        <v/>
      </c>
    </row>
    <row r="270" spans="1:3" x14ac:dyDescent="0.15">
      <c r="A270" s="79"/>
      <c r="B270" s="77" t="str">
        <f t="shared" ca="1" si="8"/>
        <v/>
      </c>
      <c r="C270" s="11" t="str">
        <f t="shared" ca="1" si="9"/>
        <v/>
      </c>
    </row>
    <row r="271" spans="1:3" x14ac:dyDescent="0.15">
      <c r="A271" s="79"/>
      <c r="B271" s="77" t="str">
        <f t="shared" ca="1" si="8"/>
        <v/>
      </c>
      <c r="C271" s="11" t="str">
        <f t="shared" ca="1" si="9"/>
        <v/>
      </c>
    </row>
    <row r="272" spans="1:3" x14ac:dyDescent="0.15">
      <c r="A272" s="79"/>
      <c r="B272" s="77" t="str">
        <f t="shared" ca="1" si="8"/>
        <v/>
      </c>
      <c r="C272" s="11" t="str">
        <f t="shared" ca="1" si="9"/>
        <v/>
      </c>
    </row>
    <row r="273" spans="1:3" x14ac:dyDescent="0.15">
      <c r="A273" s="79"/>
      <c r="B273" s="77" t="str">
        <f t="shared" ca="1" si="8"/>
        <v/>
      </c>
      <c r="C273" s="11" t="str">
        <f t="shared" ca="1" si="9"/>
        <v/>
      </c>
    </row>
    <row r="274" spans="1:3" x14ac:dyDescent="0.15">
      <c r="A274" s="79"/>
      <c r="B274" s="77" t="str">
        <f t="shared" ca="1" si="8"/>
        <v/>
      </c>
      <c r="C274" s="11" t="str">
        <f t="shared" ca="1" si="9"/>
        <v/>
      </c>
    </row>
    <row r="275" spans="1:3" x14ac:dyDescent="0.15">
      <c r="A275" s="79"/>
      <c r="B275" s="77" t="str">
        <f t="shared" ca="1" si="8"/>
        <v/>
      </c>
      <c r="C275" s="11" t="str">
        <f t="shared" ca="1" si="9"/>
        <v/>
      </c>
    </row>
    <row r="276" spans="1:3" x14ac:dyDescent="0.15">
      <c r="A276" s="79"/>
      <c r="B276" s="77" t="str">
        <f t="shared" ca="1" si="8"/>
        <v/>
      </c>
      <c r="C276" s="11" t="str">
        <f t="shared" ca="1" si="9"/>
        <v/>
      </c>
    </row>
    <row r="277" spans="1:3" x14ac:dyDescent="0.15">
      <c r="A277" s="79"/>
      <c r="B277" s="77" t="str">
        <f t="shared" ca="1" si="8"/>
        <v/>
      </c>
      <c r="C277" s="11" t="str">
        <f t="shared" ca="1" si="9"/>
        <v/>
      </c>
    </row>
    <row r="278" spans="1:3" x14ac:dyDescent="0.15">
      <c r="A278" s="79"/>
      <c r="B278" s="77" t="str">
        <f t="shared" ca="1" si="8"/>
        <v/>
      </c>
      <c r="C278" s="11" t="str">
        <f t="shared" ca="1" si="9"/>
        <v/>
      </c>
    </row>
    <row r="279" spans="1:3" x14ac:dyDescent="0.15">
      <c r="A279" s="79"/>
      <c r="B279" s="77" t="str">
        <f t="shared" ca="1" si="8"/>
        <v/>
      </c>
      <c r="C279" s="11" t="str">
        <f t="shared" ca="1" si="9"/>
        <v/>
      </c>
    </row>
    <row r="280" spans="1:3" x14ac:dyDescent="0.15">
      <c r="A280" s="79"/>
      <c r="B280" s="77" t="str">
        <f t="shared" ca="1" si="8"/>
        <v/>
      </c>
      <c r="C280" s="11" t="str">
        <f t="shared" ca="1" si="9"/>
        <v/>
      </c>
    </row>
    <row r="281" spans="1:3" x14ac:dyDescent="0.15">
      <c r="A281" s="79"/>
      <c r="B281" s="77" t="str">
        <f t="shared" ca="1" si="8"/>
        <v/>
      </c>
      <c r="C281" s="11" t="str">
        <f t="shared" ca="1" si="9"/>
        <v/>
      </c>
    </row>
    <row r="282" spans="1:3" x14ac:dyDescent="0.15">
      <c r="A282" s="79"/>
      <c r="B282" s="77" t="str">
        <f t="shared" ca="1" si="8"/>
        <v/>
      </c>
      <c r="C282" s="11" t="str">
        <f t="shared" ca="1" si="9"/>
        <v/>
      </c>
    </row>
    <row r="283" spans="1:3" x14ac:dyDescent="0.15">
      <c r="A283" s="79"/>
      <c r="B283" s="77" t="str">
        <f t="shared" ca="1" si="8"/>
        <v/>
      </c>
      <c r="C283" s="11" t="str">
        <f t="shared" ca="1" si="9"/>
        <v/>
      </c>
    </row>
    <row r="284" spans="1:3" x14ac:dyDescent="0.15">
      <c r="A284" s="79"/>
      <c r="B284" s="77" t="str">
        <f t="shared" ca="1" si="8"/>
        <v/>
      </c>
      <c r="C284" s="11" t="str">
        <f t="shared" ca="1" si="9"/>
        <v/>
      </c>
    </row>
    <row r="285" spans="1:3" x14ac:dyDescent="0.15">
      <c r="A285" s="79"/>
      <c r="B285" s="77" t="str">
        <f t="shared" ca="1" si="8"/>
        <v/>
      </c>
      <c r="C285" s="11" t="str">
        <f t="shared" ca="1" si="9"/>
        <v/>
      </c>
    </row>
    <row r="286" spans="1:3" x14ac:dyDescent="0.15">
      <c r="A286" s="79"/>
      <c r="B286" s="77" t="str">
        <f t="shared" ca="1" si="8"/>
        <v/>
      </c>
      <c r="C286" s="11" t="str">
        <f t="shared" ca="1" si="9"/>
        <v/>
      </c>
    </row>
    <row r="287" spans="1:3" x14ac:dyDescent="0.15">
      <c r="A287" s="79"/>
      <c r="B287" s="77" t="str">
        <f t="shared" ca="1" si="8"/>
        <v/>
      </c>
      <c r="C287" s="11" t="str">
        <f t="shared" ca="1" si="9"/>
        <v/>
      </c>
    </row>
    <row r="288" spans="1:3" x14ac:dyDescent="0.15">
      <c r="A288" s="79"/>
      <c r="B288" s="77" t="str">
        <f t="shared" ca="1" si="8"/>
        <v/>
      </c>
      <c r="C288" s="11" t="str">
        <f t="shared" ca="1" si="9"/>
        <v/>
      </c>
    </row>
    <row r="289" spans="1:3" x14ac:dyDescent="0.15">
      <c r="A289" s="79"/>
      <c r="B289" s="77" t="str">
        <f t="shared" ca="1" si="8"/>
        <v/>
      </c>
      <c r="C289" s="11" t="str">
        <f t="shared" ca="1" si="9"/>
        <v/>
      </c>
    </row>
    <row r="290" spans="1:3" x14ac:dyDescent="0.15">
      <c r="A290" s="79"/>
      <c r="B290" s="77" t="str">
        <f t="shared" ca="1" si="8"/>
        <v/>
      </c>
      <c r="C290" s="11" t="str">
        <f t="shared" ca="1" si="9"/>
        <v/>
      </c>
    </row>
    <row r="291" spans="1:3" x14ac:dyDescent="0.15">
      <c r="A291" s="79"/>
      <c r="B291" s="77" t="str">
        <f t="shared" ca="1" si="8"/>
        <v/>
      </c>
      <c r="C291" s="11" t="str">
        <f t="shared" ca="1" si="9"/>
        <v/>
      </c>
    </row>
    <row r="292" spans="1:3" x14ac:dyDescent="0.15">
      <c r="A292" s="79"/>
      <c r="B292" s="77" t="str">
        <f t="shared" ca="1" si="8"/>
        <v/>
      </c>
      <c r="C292" s="11" t="str">
        <f t="shared" ca="1" si="9"/>
        <v/>
      </c>
    </row>
    <row r="293" spans="1:3" x14ac:dyDescent="0.15">
      <c r="A293" s="79"/>
      <c r="B293" s="77" t="str">
        <f t="shared" ca="1" si="8"/>
        <v/>
      </c>
      <c r="C293" s="11" t="str">
        <f t="shared" ca="1" si="9"/>
        <v/>
      </c>
    </row>
    <row r="294" spans="1:3" x14ac:dyDescent="0.15">
      <c r="A294" s="79"/>
      <c r="B294" s="77" t="str">
        <f t="shared" ca="1" si="8"/>
        <v/>
      </c>
      <c r="C294" s="11" t="str">
        <f t="shared" ca="1" si="9"/>
        <v/>
      </c>
    </row>
    <row r="295" spans="1:3" x14ac:dyDescent="0.15">
      <c r="A295" s="79"/>
      <c r="B295" s="77" t="str">
        <f t="shared" ca="1" si="8"/>
        <v/>
      </c>
      <c r="C295" s="11" t="str">
        <f t="shared" ca="1" si="9"/>
        <v/>
      </c>
    </row>
    <row r="296" spans="1:3" x14ac:dyDescent="0.15">
      <c r="A296" s="79"/>
      <c r="B296" s="77" t="str">
        <f t="shared" ca="1" si="8"/>
        <v/>
      </c>
      <c r="C296" s="11" t="str">
        <f t="shared" ca="1" si="9"/>
        <v/>
      </c>
    </row>
    <row r="297" spans="1:3" x14ac:dyDescent="0.15">
      <c r="A297" s="79"/>
      <c r="B297" s="77" t="str">
        <f t="shared" ca="1" si="8"/>
        <v/>
      </c>
      <c r="C297" s="11" t="str">
        <f t="shared" ca="1" si="9"/>
        <v/>
      </c>
    </row>
    <row r="298" spans="1:3" x14ac:dyDescent="0.15">
      <c r="A298" s="79"/>
      <c r="B298" s="77" t="str">
        <f t="shared" ca="1" si="8"/>
        <v/>
      </c>
      <c r="C298" s="11" t="str">
        <f t="shared" ca="1" si="9"/>
        <v/>
      </c>
    </row>
    <row r="299" spans="1:3" x14ac:dyDescent="0.15">
      <c r="A299" s="79"/>
      <c r="B299" s="77" t="str">
        <f t="shared" ca="1" si="8"/>
        <v/>
      </c>
      <c r="C299" s="11" t="str">
        <f t="shared" ca="1" si="9"/>
        <v/>
      </c>
    </row>
    <row r="300" spans="1:3" x14ac:dyDescent="0.15">
      <c r="A300" s="79"/>
      <c r="B300" s="77" t="str">
        <f t="shared" ca="1" si="8"/>
        <v/>
      </c>
      <c r="C300" s="11" t="str">
        <f t="shared" ca="1" si="9"/>
        <v/>
      </c>
    </row>
    <row r="301" spans="1:3" x14ac:dyDescent="0.15">
      <c r="A301" s="79"/>
      <c r="B301" s="77" t="str">
        <f t="shared" ca="1" si="8"/>
        <v/>
      </c>
      <c r="C301" s="11" t="str">
        <f t="shared" ca="1" si="9"/>
        <v/>
      </c>
    </row>
    <row r="302" spans="1:3" x14ac:dyDescent="0.15">
      <c r="A302" s="79"/>
      <c r="B302" s="77" t="str">
        <f t="shared" ca="1" si="8"/>
        <v/>
      </c>
      <c r="C302" s="11" t="str">
        <f t="shared" ca="1" si="9"/>
        <v/>
      </c>
    </row>
    <row r="303" spans="1:3" x14ac:dyDescent="0.15">
      <c r="A303" s="79"/>
      <c r="B303" s="77" t="str">
        <f t="shared" ca="1" si="8"/>
        <v/>
      </c>
      <c r="C303" s="11" t="str">
        <f t="shared" ca="1" si="9"/>
        <v/>
      </c>
    </row>
    <row r="304" spans="1:3" x14ac:dyDescent="0.15">
      <c r="A304" s="79"/>
      <c r="B304" s="77" t="str">
        <f t="shared" ca="1" si="8"/>
        <v/>
      </c>
      <c r="C304" s="11" t="str">
        <f t="shared" ca="1" si="9"/>
        <v/>
      </c>
    </row>
    <row r="305" spans="1:3" x14ac:dyDescent="0.15">
      <c r="A305" s="79"/>
      <c r="B305" s="77" t="str">
        <f t="shared" ca="1" si="8"/>
        <v/>
      </c>
      <c r="C305" s="11" t="str">
        <f t="shared" ca="1" si="9"/>
        <v/>
      </c>
    </row>
    <row r="306" spans="1:3" x14ac:dyDescent="0.15">
      <c r="A306" s="79"/>
      <c r="B306" s="77" t="str">
        <f t="shared" ca="1" si="8"/>
        <v/>
      </c>
      <c r="C306" s="11" t="str">
        <f t="shared" ca="1" si="9"/>
        <v/>
      </c>
    </row>
    <row r="307" spans="1:3" x14ac:dyDescent="0.15">
      <c r="A307" s="79"/>
      <c r="B307" s="77" t="str">
        <f t="shared" ca="1" si="8"/>
        <v/>
      </c>
      <c r="C307" s="11" t="str">
        <f t="shared" ca="1" si="9"/>
        <v/>
      </c>
    </row>
    <row r="308" spans="1:3" x14ac:dyDescent="0.15">
      <c r="A308" s="79"/>
      <c r="B308" s="77" t="str">
        <f t="shared" ca="1" si="8"/>
        <v/>
      </c>
      <c r="C308" s="11" t="str">
        <f t="shared" ca="1" si="9"/>
        <v/>
      </c>
    </row>
    <row r="309" spans="1:3" x14ac:dyDescent="0.15">
      <c r="A309" s="79"/>
      <c r="B309" s="77" t="str">
        <f t="shared" ca="1" si="8"/>
        <v/>
      </c>
      <c r="C309" s="11" t="str">
        <f t="shared" ca="1" si="9"/>
        <v/>
      </c>
    </row>
    <row r="310" spans="1:3" x14ac:dyDescent="0.15">
      <c r="A310" s="79"/>
      <c r="B310" s="77" t="str">
        <f t="shared" ca="1" si="8"/>
        <v/>
      </c>
      <c r="C310" s="11" t="str">
        <f t="shared" ca="1" si="9"/>
        <v/>
      </c>
    </row>
    <row r="311" spans="1:3" x14ac:dyDescent="0.15">
      <c r="A311" s="79"/>
      <c r="B311" s="77" t="str">
        <f t="shared" ca="1" si="8"/>
        <v/>
      </c>
      <c r="C311" s="11" t="str">
        <f t="shared" ca="1" si="9"/>
        <v/>
      </c>
    </row>
    <row r="312" spans="1:3" x14ac:dyDescent="0.15">
      <c r="A312" s="79"/>
      <c r="B312" s="77" t="str">
        <f t="shared" ca="1" si="8"/>
        <v/>
      </c>
      <c r="C312" s="11" t="str">
        <f t="shared" ca="1" si="9"/>
        <v/>
      </c>
    </row>
    <row r="313" spans="1:3" x14ac:dyDescent="0.15">
      <c r="A313" s="79"/>
      <c r="B313" s="77" t="str">
        <f t="shared" ca="1" si="8"/>
        <v/>
      </c>
      <c r="C313" s="11" t="str">
        <f t="shared" ca="1" si="9"/>
        <v/>
      </c>
    </row>
    <row r="314" spans="1:3" x14ac:dyDescent="0.15">
      <c r="A314" s="79"/>
      <c r="B314" s="77" t="str">
        <f t="shared" ca="1" si="8"/>
        <v/>
      </c>
      <c r="C314" s="11" t="str">
        <f t="shared" ca="1" si="9"/>
        <v/>
      </c>
    </row>
    <row r="315" spans="1:3" x14ac:dyDescent="0.15">
      <c r="A315" s="79"/>
      <c r="B315" s="77" t="str">
        <f t="shared" ca="1" si="8"/>
        <v/>
      </c>
      <c r="C315" s="11" t="str">
        <f t="shared" ca="1" si="9"/>
        <v/>
      </c>
    </row>
    <row r="316" spans="1:3" x14ac:dyDescent="0.15">
      <c r="A316" s="79"/>
      <c r="B316" s="77" t="str">
        <f t="shared" ca="1" si="8"/>
        <v/>
      </c>
      <c r="C316" s="11" t="str">
        <f t="shared" ca="1" si="9"/>
        <v/>
      </c>
    </row>
    <row r="317" spans="1:3" x14ac:dyDescent="0.15">
      <c r="A317" s="79"/>
      <c r="B317" s="77" t="str">
        <f t="shared" ca="1" si="8"/>
        <v/>
      </c>
      <c r="C317" s="11" t="str">
        <f t="shared" ca="1" si="9"/>
        <v/>
      </c>
    </row>
    <row r="318" spans="1:3" x14ac:dyDescent="0.15">
      <c r="A318" s="79"/>
      <c r="B318" s="77" t="str">
        <f t="shared" ca="1" si="8"/>
        <v/>
      </c>
      <c r="C318" s="11" t="str">
        <f t="shared" ca="1" si="9"/>
        <v/>
      </c>
    </row>
    <row r="319" spans="1:3" x14ac:dyDescent="0.15">
      <c r="A319" s="79"/>
      <c r="B319" s="77" t="str">
        <f t="shared" ca="1" si="8"/>
        <v/>
      </c>
      <c r="C319" s="11" t="str">
        <f t="shared" ca="1" si="9"/>
        <v/>
      </c>
    </row>
    <row r="320" spans="1:3" x14ac:dyDescent="0.15">
      <c r="A320" s="79"/>
      <c r="B320" s="77" t="str">
        <f t="shared" ca="1" si="8"/>
        <v/>
      </c>
      <c r="C320" s="11" t="str">
        <f t="shared" ca="1" si="9"/>
        <v/>
      </c>
    </row>
    <row r="321" spans="1:3" x14ac:dyDescent="0.15">
      <c r="A321" s="79"/>
      <c r="B321" s="77" t="str">
        <f t="shared" ca="1" si="8"/>
        <v/>
      </c>
      <c r="C321" s="11" t="str">
        <f t="shared" ca="1" si="9"/>
        <v/>
      </c>
    </row>
    <row r="322" spans="1:3" x14ac:dyDescent="0.15">
      <c r="A322" s="79"/>
      <c r="B322" s="77" t="str">
        <f t="shared" ref="B322:B385" ca="1" si="10">IFERROR(VLOOKUP(TEXT(A322,"00000000"),analysis_table_by_barcode,15,FALSE),"")</f>
        <v/>
      </c>
      <c r="C322" s="11" t="str">
        <f t="shared" ref="C322:C385" ca="1" si="11">IF($B322&lt;&gt;"", IF(VLOOKUP(B322, final_to_ministry_result,2,FALSE)&lt;&gt;"",VLOOKUP(B322, final_to_ministry_result,2,FALSE),""),"")</f>
        <v/>
      </c>
    </row>
    <row r="323" spans="1:3" x14ac:dyDescent="0.15">
      <c r="A323" s="79"/>
      <c r="B323" s="77" t="str">
        <f t="shared" ca="1" si="10"/>
        <v/>
      </c>
      <c r="C323" s="11" t="str">
        <f t="shared" ca="1" si="11"/>
        <v/>
      </c>
    </row>
    <row r="324" spans="1:3" x14ac:dyDescent="0.15">
      <c r="A324" s="79"/>
      <c r="B324" s="77" t="str">
        <f t="shared" ca="1" si="10"/>
        <v/>
      </c>
      <c r="C324" s="11" t="str">
        <f t="shared" ca="1" si="11"/>
        <v/>
      </c>
    </row>
    <row r="325" spans="1:3" x14ac:dyDescent="0.15">
      <c r="A325" s="79"/>
      <c r="B325" s="77" t="str">
        <f t="shared" ca="1" si="10"/>
        <v/>
      </c>
      <c r="C325" s="11" t="str">
        <f t="shared" ca="1" si="11"/>
        <v/>
      </c>
    </row>
    <row r="326" spans="1:3" x14ac:dyDescent="0.15">
      <c r="A326" s="79"/>
      <c r="B326" s="77" t="str">
        <f t="shared" ca="1" si="10"/>
        <v/>
      </c>
      <c r="C326" s="11" t="str">
        <f t="shared" ca="1" si="11"/>
        <v/>
      </c>
    </row>
    <row r="327" spans="1:3" x14ac:dyDescent="0.15">
      <c r="A327" s="79"/>
      <c r="B327" s="77" t="str">
        <f t="shared" ca="1" si="10"/>
        <v/>
      </c>
      <c r="C327" s="11" t="str">
        <f t="shared" ca="1" si="11"/>
        <v/>
      </c>
    </row>
    <row r="328" spans="1:3" x14ac:dyDescent="0.15">
      <c r="A328" s="79"/>
      <c r="B328" s="77" t="str">
        <f t="shared" ca="1" si="10"/>
        <v/>
      </c>
      <c r="C328" s="11" t="str">
        <f t="shared" ca="1" si="11"/>
        <v/>
      </c>
    </row>
    <row r="329" spans="1:3" x14ac:dyDescent="0.15">
      <c r="A329" s="79"/>
      <c r="B329" s="77" t="str">
        <f t="shared" ca="1" si="10"/>
        <v/>
      </c>
      <c r="C329" s="11" t="str">
        <f t="shared" ca="1" si="11"/>
        <v/>
      </c>
    </row>
    <row r="330" spans="1:3" x14ac:dyDescent="0.15">
      <c r="A330" s="79"/>
      <c r="B330" s="77" t="str">
        <f t="shared" ca="1" si="10"/>
        <v/>
      </c>
      <c r="C330" s="11" t="str">
        <f t="shared" ca="1" si="11"/>
        <v/>
      </c>
    </row>
    <row r="331" spans="1:3" x14ac:dyDescent="0.15">
      <c r="A331" s="79"/>
      <c r="B331" s="77" t="str">
        <f t="shared" ca="1" si="10"/>
        <v/>
      </c>
      <c r="C331" s="11" t="str">
        <f t="shared" ca="1" si="11"/>
        <v/>
      </c>
    </row>
    <row r="332" spans="1:3" x14ac:dyDescent="0.15">
      <c r="A332" s="79"/>
      <c r="B332" s="77" t="str">
        <f t="shared" ca="1" si="10"/>
        <v/>
      </c>
      <c r="C332" s="11" t="str">
        <f t="shared" ca="1" si="11"/>
        <v/>
      </c>
    </row>
    <row r="333" spans="1:3" x14ac:dyDescent="0.15">
      <c r="A333" s="79"/>
      <c r="B333" s="77" t="str">
        <f t="shared" ca="1" si="10"/>
        <v/>
      </c>
      <c r="C333" s="11" t="str">
        <f t="shared" ca="1" si="11"/>
        <v/>
      </c>
    </row>
    <row r="334" spans="1:3" x14ac:dyDescent="0.15">
      <c r="A334" s="79"/>
      <c r="B334" s="77" t="str">
        <f t="shared" ca="1" si="10"/>
        <v/>
      </c>
      <c r="C334" s="11" t="str">
        <f t="shared" ca="1" si="11"/>
        <v/>
      </c>
    </row>
    <row r="335" spans="1:3" x14ac:dyDescent="0.15">
      <c r="A335" s="79"/>
      <c r="B335" s="77" t="str">
        <f t="shared" ca="1" si="10"/>
        <v/>
      </c>
      <c r="C335" s="11" t="str">
        <f t="shared" ca="1" si="11"/>
        <v/>
      </c>
    </row>
    <row r="336" spans="1:3" x14ac:dyDescent="0.15">
      <c r="A336" s="79"/>
      <c r="B336" s="77" t="str">
        <f t="shared" ca="1" si="10"/>
        <v/>
      </c>
      <c r="C336" s="11" t="str">
        <f t="shared" ca="1" si="11"/>
        <v/>
      </c>
    </row>
    <row r="337" spans="1:3" x14ac:dyDescent="0.15">
      <c r="A337" s="79"/>
      <c r="B337" s="77" t="str">
        <f t="shared" ca="1" si="10"/>
        <v/>
      </c>
      <c r="C337" s="11" t="str">
        <f t="shared" ca="1" si="11"/>
        <v/>
      </c>
    </row>
    <row r="338" spans="1:3" x14ac:dyDescent="0.15">
      <c r="A338" s="79"/>
      <c r="B338" s="77" t="str">
        <f t="shared" ca="1" si="10"/>
        <v/>
      </c>
      <c r="C338" s="11" t="str">
        <f t="shared" ca="1" si="11"/>
        <v/>
      </c>
    </row>
    <row r="339" spans="1:3" x14ac:dyDescent="0.15">
      <c r="A339" s="79"/>
      <c r="B339" s="77" t="str">
        <f t="shared" ca="1" si="10"/>
        <v/>
      </c>
      <c r="C339" s="11" t="str">
        <f t="shared" ca="1" si="11"/>
        <v/>
      </c>
    </row>
    <row r="340" spans="1:3" x14ac:dyDescent="0.15">
      <c r="A340" s="79"/>
      <c r="B340" s="77" t="str">
        <f t="shared" ca="1" si="10"/>
        <v/>
      </c>
      <c r="C340" s="11" t="str">
        <f t="shared" ca="1" si="11"/>
        <v/>
      </c>
    </row>
    <row r="341" spans="1:3" x14ac:dyDescent="0.15">
      <c r="A341" s="79"/>
      <c r="B341" s="77" t="str">
        <f t="shared" ca="1" si="10"/>
        <v/>
      </c>
      <c r="C341" s="11" t="str">
        <f t="shared" ca="1" si="11"/>
        <v/>
      </c>
    </row>
    <row r="342" spans="1:3" x14ac:dyDescent="0.15">
      <c r="A342" s="79"/>
      <c r="B342" s="77" t="str">
        <f t="shared" ca="1" si="10"/>
        <v/>
      </c>
      <c r="C342" s="11" t="str">
        <f t="shared" ca="1" si="11"/>
        <v/>
      </c>
    </row>
    <row r="343" spans="1:3" x14ac:dyDescent="0.15">
      <c r="A343" s="79"/>
      <c r="B343" s="77" t="str">
        <f t="shared" ca="1" si="10"/>
        <v/>
      </c>
      <c r="C343" s="11" t="str">
        <f t="shared" ca="1" si="11"/>
        <v/>
      </c>
    </row>
    <row r="344" spans="1:3" x14ac:dyDescent="0.15">
      <c r="A344" s="79"/>
      <c r="B344" s="77" t="str">
        <f t="shared" ca="1" si="10"/>
        <v/>
      </c>
      <c r="C344" s="11" t="str">
        <f t="shared" ca="1" si="11"/>
        <v/>
      </c>
    </row>
    <row r="345" spans="1:3" x14ac:dyDescent="0.15">
      <c r="A345" s="79"/>
      <c r="B345" s="77" t="str">
        <f t="shared" ca="1" si="10"/>
        <v/>
      </c>
      <c r="C345" s="11" t="str">
        <f t="shared" ca="1" si="11"/>
        <v/>
      </c>
    </row>
    <row r="346" spans="1:3" x14ac:dyDescent="0.15">
      <c r="A346" s="79"/>
      <c r="B346" s="77" t="str">
        <f t="shared" ca="1" si="10"/>
        <v/>
      </c>
      <c r="C346" s="11" t="str">
        <f t="shared" ca="1" si="11"/>
        <v/>
      </c>
    </row>
    <row r="347" spans="1:3" x14ac:dyDescent="0.15">
      <c r="A347" s="79"/>
      <c r="B347" s="77" t="str">
        <f t="shared" ca="1" si="10"/>
        <v/>
      </c>
      <c r="C347" s="11" t="str">
        <f t="shared" ca="1" si="11"/>
        <v/>
      </c>
    </row>
    <row r="348" spans="1:3" x14ac:dyDescent="0.15">
      <c r="A348" s="79"/>
      <c r="B348" s="77" t="str">
        <f t="shared" ca="1" si="10"/>
        <v/>
      </c>
      <c r="C348" s="11" t="str">
        <f t="shared" ca="1" si="11"/>
        <v/>
      </c>
    </row>
    <row r="349" spans="1:3" x14ac:dyDescent="0.15">
      <c r="A349" s="79"/>
      <c r="B349" s="77" t="str">
        <f t="shared" ca="1" si="10"/>
        <v/>
      </c>
      <c r="C349" s="11" t="str">
        <f t="shared" ca="1" si="11"/>
        <v/>
      </c>
    </row>
    <row r="350" spans="1:3" x14ac:dyDescent="0.15">
      <c r="A350" s="79"/>
      <c r="B350" s="77" t="str">
        <f t="shared" ca="1" si="10"/>
        <v/>
      </c>
      <c r="C350" s="11" t="str">
        <f t="shared" ca="1" si="11"/>
        <v/>
      </c>
    </row>
    <row r="351" spans="1:3" x14ac:dyDescent="0.15">
      <c r="A351" s="79"/>
      <c r="B351" s="77" t="str">
        <f t="shared" ca="1" si="10"/>
        <v/>
      </c>
      <c r="C351" s="11" t="str">
        <f t="shared" ca="1" si="11"/>
        <v/>
      </c>
    </row>
    <row r="352" spans="1:3" x14ac:dyDescent="0.15">
      <c r="A352" s="79"/>
      <c r="B352" s="77" t="str">
        <f t="shared" ca="1" si="10"/>
        <v/>
      </c>
      <c r="C352" s="11" t="str">
        <f t="shared" ca="1" si="11"/>
        <v/>
      </c>
    </row>
    <row r="353" spans="1:3" x14ac:dyDescent="0.15">
      <c r="A353" s="79"/>
      <c r="B353" s="77" t="str">
        <f t="shared" ca="1" si="10"/>
        <v/>
      </c>
      <c r="C353" s="11" t="str">
        <f t="shared" ca="1" si="11"/>
        <v/>
      </c>
    </row>
    <row r="354" spans="1:3" x14ac:dyDescent="0.15">
      <c r="A354" s="79"/>
      <c r="B354" s="77" t="str">
        <f t="shared" ca="1" si="10"/>
        <v/>
      </c>
      <c r="C354" s="11" t="str">
        <f t="shared" ca="1" si="11"/>
        <v/>
      </c>
    </row>
    <row r="355" spans="1:3" x14ac:dyDescent="0.15">
      <c r="A355" s="79"/>
      <c r="B355" s="77" t="str">
        <f t="shared" ca="1" si="10"/>
        <v/>
      </c>
      <c r="C355" s="11" t="str">
        <f t="shared" ca="1" si="11"/>
        <v/>
      </c>
    </row>
    <row r="356" spans="1:3" x14ac:dyDescent="0.15">
      <c r="A356" s="79"/>
      <c r="B356" s="77" t="str">
        <f t="shared" ca="1" si="10"/>
        <v/>
      </c>
      <c r="C356" s="11" t="str">
        <f t="shared" ca="1" si="11"/>
        <v/>
      </c>
    </row>
    <row r="357" spans="1:3" x14ac:dyDescent="0.15">
      <c r="A357" s="79"/>
      <c r="B357" s="77" t="str">
        <f t="shared" ca="1" si="10"/>
        <v/>
      </c>
      <c r="C357" s="11" t="str">
        <f t="shared" ca="1" si="11"/>
        <v/>
      </c>
    </row>
    <row r="358" spans="1:3" x14ac:dyDescent="0.15">
      <c r="A358" s="79"/>
      <c r="B358" s="77" t="str">
        <f t="shared" ca="1" si="10"/>
        <v/>
      </c>
      <c r="C358" s="11" t="str">
        <f t="shared" ca="1" si="11"/>
        <v/>
      </c>
    </row>
    <row r="359" spans="1:3" x14ac:dyDescent="0.15">
      <c r="A359" s="79"/>
      <c r="B359" s="77" t="str">
        <f t="shared" ca="1" si="10"/>
        <v/>
      </c>
      <c r="C359" s="11" t="str">
        <f t="shared" ca="1" si="11"/>
        <v/>
      </c>
    </row>
    <row r="360" spans="1:3" x14ac:dyDescent="0.15">
      <c r="A360" s="79"/>
      <c r="B360" s="77" t="str">
        <f t="shared" ca="1" si="10"/>
        <v/>
      </c>
      <c r="C360" s="11" t="str">
        <f t="shared" ca="1" si="11"/>
        <v/>
      </c>
    </row>
    <row r="361" spans="1:3" x14ac:dyDescent="0.15">
      <c r="A361" s="79"/>
      <c r="B361" s="77" t="str">
        <f t="shared" ca="1" si="10"/>
        <v/>
      </c>
      <c r="C361" s="11" t="str">
        <f t="shared" ca="1" si="11"/>
        <v/>
      </c>
    </row>
    <row r="362" spans="1:3" x14ac:dyDescent="0.15">
      <c r="A362" s="79"/>
      <c r="B362" s="77" t="str">
        <f t="shared" ca="1" si="10"/>
        <v/>
      </c>
      <c r="C362" s="11" t="str">
        <f t="shared" ca="1" si="11"/>
        <v/>
      </c>
    </row>
    <row r="363" spans="1:3" x14ac:dyDescent="0.15">
      <c r="A363" s="79"/>
      <c r="B363" s="77" t="str">
        <f t="shared" ca="1" si="10"/>
        <v/>
      </c>
      <c r="C363" s="11" t="str">
        <f t="shared" ca="1" si="11"/>
        <v/>
      </c>
    </row>
    <row r="364" spans="1:3" x14ac:dyDescent="0.15">
      <c r="A364" s="79"/>
      <c r="B364" s="77" t="str">
        <f t="shared" ca="1" si="10"/>
        <v/>
      </c>
      <c r="C364" s="11" t="str">
        <f t="shared" ca="1" si="11"/>
        <v/>
      </c>
    </row>
    <row r="365" spans="1:3" x14ac:dyDescent="0.15">
      <c r="A365" s="79"/>
      <c r="B365" s="77" t="str">
        <f t="shared" ca="1" si="10"/>
        <v/>
      </c>
      <c r="C365" s="11" t="str">
        <f t="shared" ca="1" si="11"/>
        <v/>
      </c>
    </row>
    <row r="366" spans="1:3" x14ac:dyDescent="0.15">
      <c r="A366" s="79"/>
      <c r="B366" s="77" t="str">
        <f t="shared" ca="1" si="10"/>
        <v/>
      </c>
      <c r="C366" s="11" t="str">
        <f t="shared" ca="1" si="11"/>
        <v/>
      </c>
    </row>
    <row r="367" spans="1:3" x14ac:dyDescent="0.15">
      <c r="A367" s="79"/>
      <c r="B367" s="77" t="str">
        <f t="shared" ca="1" si="10"/>
        <v/>
      </c>
      <c r="C367" s="11" t="str">
        <f t="shared" ca="1" si="11"/>
        <v/>
      </c>
    </row>
    <row r="368" spans="1:3" x14ac:dyDescent="0.15">
      <c r="A368" s="79"/>
      <c r="B368" s="77" t="str">
        <f t="shared" ca="1" si="10"/>
        <v/>
      </c>
      <c r="C368" s="11" t="str">
        <f t="shared" ca="1" si="11"/>
        <v/>
      </c>
    </row>
    <row r="369" spans="1:3" x14ac:dyDescent="0.15">
      <c r="A369" s="79"/>
      <c r="B369" s="77" t="str">
        <f t="shared" ca="1" si="10"/>
        <v/>
      </c>
      <c r="C369" s="11" t="str">
        <f t="shared" ca="1" si="11"/>
        <v/>
      </c>
    </row>
    <row r="370" spans="1:3" x14ac:dyDescent="0.15">
      <c r="A370" s="79"/>
      <c r="B370" s="77" t="str">
        <f t="shared" ca="1" si="10"/>
        <v/>
      </c>
      <c r="C370" s="11" t="str">
        <f t="shared" ca="1" si="11"/>
        <v/>
      </c>
    </row>
    <row r="371" spans="1:3" x14ac:dyDescent="0.15">
      <c r="A371" s="79"/>
      <c r="B371" s="77" t="str">
        <f t="shared" ca="1" si="10"/>
        <v/>
      </c>
      <c r="C371" s="11" t="str">
        <f t="shared" ca="1" si="11"/>
        <v/>
      </c>
    </row>
    <row r="372" spans="1:3" x14ac:dyDescent="0.15">
      <c r="A372" s="79"/>
      <c r="B372" s="77" t="str">
        <f t="shared" ca="1" si="10"/>
        <v/>
      </c>
      <c r="C372" s="11" t="str">
        <f t="shared" ca="1" si="11"/>
        <v/>
      </c>
    </row>
    <row r="373" spans="1:3" x14ac:dyDescent="0.15">
      <c r="A373" s="79"/>
      <c r="B373" s="77" t="str">
        <f t="shared" ca="1" si="10"/>
        <v/>
      </c>
      <c r="C373" s="11" t="str">
        <f t="shared" ca="1" si="11"/>
        <v/>
      </c>
    </row>
    <row r="374" spans="1:3" x14ac:dyDescent="0.15">
      <c r="A374" s="79"/>
      <c r="B374" s="77" t="str">
        <f t="shared" ca="1" si="10"/>
        <v/>
      </c>
      <c r="C374" s="11" t="str">
        <f t="shared" ca="1" si="11"/>
        <v/>
      </c>
    </row>
    <row r="375" spans="1:3" x14ac:dyDescent="0.15">
      <c r="A375" s="79"/>
      <c r="B375" s="77" t="str">
        <f t="shared" ca="1" si="10"/>
        <v/>
      </c>
      <c r="C375" s="11" t="str">
        <f t="shared" ca="1" si="11"/>
        <v/>
      </c>
    </row>
    <row r="376" spans="1:3" x14ac:dyDescent="0.15">
      <c r="A376" s="79"/>
      <c r="B376" s="77" t="str">
        <f t="shared" ca="1" si="10"/>
        <v/>
      </c>
      <c r="C376" s="11" t="str">
        <f t="shared" ca="1" si="11"/>
        <v/>
      </c>
    </row>
    <row r="377" spans="1:3" x14ac:dyDescent="0.15">
      <c r="A377" s="79"/>
      <c r="B377" s="77" t="str">
        <f t="shared" ca="1" si="10"/>
        <v/>
      </c>
      <c r="C377" s="11" t="str">
        <f t="shared" ca="1" si="11"/>
        <v/>
      </c>
    </row>
    <row r="378" spans="1:3" x14ac:dyDescent="0.15">
      <c r="A378" s="79"/>
      <c r="B378" s="77" t="str">
        <f t="shared" ca="1" si="10"/>
        <v/>
      </c>
      <c r="C378" s="11" t="str">
        <f t="shared" ca="1" si="11"/>
        <v/>
      </c>
    </row>
    <row r="379" spans="1:3" x14ac:dyDescent="0.15">
      <c r="A379" s="79"/>
      <c r="B379" s="77" t="str">
        <f t="shared" ca="1" si="10"/>
        <v/>
      </c>
      <c r="C379" s="11" t="str">
        <f t="shared" ca="1" si="11"/>
        <v/>
      </c>
    </row>
    <row r="380" spans="1:3" x14ac:dyDescent="0.15">
      <c r="A380" s="79"/>
      <c r="B380" s="77" t="str">
        <f t="shared" ca="1" si="10"/>
        <v/>
      </c>
      <c r="C380" s="11" t="str">
        <f t="shared" ca="1" si="11"/>
        <v/>
      </c>
    </row>
    <row r="381" spans="1:3" x14ac:dyDescent="0.15">
      <c r="A381" s="79"/>
      <c r="B381" s="77" t="str">
        <f t="shared" ca="1" si="10"/>
        <v/>
      </c>
      <c r="C381" s="11" t="str">
        <f t="shared" ca="1" si="11"/>
        <v/>
      </c>
    </row>
    <row r="382" spans="1:3" x14ac:dyDescent="0.15">
      <c r="A382" s="79"/>
      <c r="B382" s="77" t="str">
        <f t="shared" ca="1" si="10"/>
        <v/>
      </c>
      <c r="C382" s="11" t="str">
        <f t="shared" ca="1" si="11"/>
        <v/>
      </c>
    </row>
    <row r="383" spans="1:3" x14ac:dyDescent="0.15">
      <c r="A383" s="79"/>
      <c r="B383" s="77" t="str">
        <f t="shared" ca="1" si="10"/>
        <v/>
      </c>
      <c r="C383" s="11" t="str">
        <f t="shared" ca="1" si="11"/>
        <v/>
      </c>
    </row>
    <row r="384" spans="1:3" x14ac:dyDescent="0.15">
      <c r="A384" s="79"/>
      <c r="B384" s="77" t="str">
        <f t="shared" ca="1" si="10"/>
        <v/>
      </c>
      <c r="C384" s="11" t="str">
        <f t="shared" ca="1" si="11"/>
        <v/>
      </c>
    </row>
    <row r="385" spans="1:3" x14ac:dyDescent="0.15">
      <c r="A385" s="79"/>
      <c r="B385" s="77" t="str">
        <f t="shared" ca="1" si="10"/>
        <v/>
      </c>
      <c r="C385" s="11" t="str">
        <f t="shared" ca="1" si="11"/>
        <v/>
      </c>
    </row>
    <row r="386" spans="1:3" x14ac:dyDescent="0.15">
      <c r="A386" s="79"/>
      <c r="B386" s="77" t="str">
        <f t="shared" ref="B386:B449" ca="1" si="12">IFERROR(VLOOKUP(TEXT(A386,"00000000"),analysis_table_by_barcode,15,FALSE),"")</f>
        <v/>
      </c>
      <c r="C386" s="11" t="str">
        <f t="shared" ref="C386:C449" ca="1" si="13">IF($B386&lt;&gt;"", IF(VLOOKUP(B386, final_to_ministry_result,2,FALSE)&lt;&gt;"",VLOOKUP(B386, final_to_ministry_result,2,FALSE),""),"")</f>
        <v/>
      </c>
    </row>
    <row r="387" spans="1:3" x14ac:dyDescent="0.15">
      <c r="A387" s="79"/>
      <c r="B387" s="77" t="str">
        <f t="shared" ca="1" si="12"/>
        <v/>
      </c>
      <c r="C387" s="11" t="str">
        <f t="shared" ca="1" si="13"/>
        <v/>
      </c>
    </row>
    <row r="388" spans="1:3" x14ac:dyDescent="0.15">
      <c r="A388" s="79"/>
      <c r="B388" s="77" t="str">
        <f t="shared" ca="1" si="12"/>
        <v/>
      </c>
      <c r="C388" s="11" t="str">
        <f t="shared" ca="1" si="13"/>
        <v/>
      </c>
    </row>
    <row r="389" spans="1:3" x14ac:dyDescent="0.15">
      <c r="A389" s="79"/>
      <c r="B389" s="77" t="str">
        <f t="shared" ca="1" si="12"/>
        <v/>
      </c>
      <c r="C389" s="11" t="str">
        <f t="shared" ca="1" si="13"/>
        <v/>
      </c>
    </row>
    <row r="390" spans="1:3" x14ac:dyDescent="0.15">
      <c r="A390" s="79"/>
      <c r="B390" s="77" t="str">
        <f t="shared" ca="1" si="12"/>
        <v/>
      </c>
      <c r="C390" s="11" t="str">
        <f t="shared" ca="1" si="13"/>
        <v/>
      </c>
    </row>
    <row r="391" spans="1:3" x14ac:dyDescent="0.15">
      <c r="A391" s="79"/>
      <c r="B391" s="77" t="str">
        <f t="shared" ca="1" si="12"/>
        <v/>
      </c>
      <c r="C391" s="11" t="str">
        <f t="shared" ca="1" si="13"/>
        <v/>
      </c>
    </row>
    <row r="392" spans="1:3" x14ac:dyDescent="0.15">
      <c r="A392" s="79"/>
      <c r="B392" s="77" t="str">
        <f t="shared" ca="1" si="12"/>
        <v/>
      </c>
      <c r="C392" s="11" t="str">
        <f t="shared" ca="1" si="13"/>
        <v/>
      </c>
    </row>
    <row r="393" spans="1:3" x14ac:dyDescent="0.15">
      <c r="A393" s="79"/>
      <c r="B393" s="77" t="str">
        <f t="shared" ca="1" si="12"/>
        <v/>
      </c>
      <c r="C393" s="11" t="str">
        <f t="shared" ca="1" si="13"/>
        <v/>
      </c>
    </row>
    <row r="394" spans="1:3" x14ac:dyDescent="0.15">
      <c r="A394" s="79"/>
      <c r="B394" s="77" t="str">
        <f t="shared" ca="1" si="12"/>
        <v/>
      </c>
      <c r="C394" s="11" t="str">
        <f t="shared" ca="1" si="13"/>
        <v/>
      </c>
    </row>
    <row r="395" spans="1:3" x14ac:dyDescent="0.15">
      <c r="A395" s="79"/>
      <c r="B395" s="77" t="str">
        <f t="shared" ca="1" si="12"/>
        <v/>
      </c>
      <c r="C395" s="11" t="str">
        <f t="shared" ca="1" si="13"/>
        <v/>
      </c>
    </row>
    <row r="396" spans="1:3" x14ac:dyDescent="0.15">
      <c r="A396" s="79"/>
      <c r="B396" s="77" t="str">
        <f t="shared" ca="1" si="12"/>
        <v/>
      </c>
      <c r="C396" s="11" t="str">
        <f t="shared" ca="1" si="13"/>
        <v/>
      </c>
    </row>
    <row r="397" spans="1:3" x14ac:dyDescent="0.15">
      <c r="A397" s="79"/>
      <c r="B397" s="77" t="str">
        <f t="shared" ca="1" si="12"/>
        <v/>
      </c>
      <c r="C397" s="11" t="str">
        <f t="shared" ca="1" si="13"/>
        <v/>
      </c>
    </row>
    <row r="398" spans="1:3" x14ac:dyDescent="0.15">
      <c r="A398" s="79"/>
      <c r="B398" s="77" t="str">
        <f t="shared" ca="1" si="12"/>
        <v/>
      </c>
      <c r="C398" s="11" t="str">
        <f t="shared" ca="1" si="13"/>
        <v/>
      </c>
    </row>
    <row r="399" spans="1:3" x14ac:dyDescent="0.15">
      <c r="A399" s="79"/>
      <c r="B399" s="77" t="str">
        <f t="shared" ca="1" si="12"/>
        <v/>
      </c>
      <c r="C399" s="11" t="str">
        <f t="shared" ca="1" si="13"/>
        <v/>
      </c>
    </row>
    <row r="400" spans="1:3" x14ac:dyDescent="0.15">
      <c r="A400" s="79"/>
      <c r="B400" s="77" t="str">
        <f t="shared" ca="1" si="12"/>
        <v/>
      </c>
      <c r="C400" s="11" t="str">
        <f t="shared" ca="1" si="13"/>
        <v/>
      </c>
    </row>
    <row r="401" spans="1:3" x14ac:dyDescent="0.15">
      <c r="A401" s="79"/>
      <c r="B401" s="77" t="str">
        <f t="shared" ca="1" si="12"/>
        <v/>
      </c>
      <c r="C401" s="11" t="str">
        <f t="shared" ca="1" si="13"/>
        <v/>
      </c>
    </row>
    <row r="402" spans="1:3" x14ac:dyDescent="0.15">
      <c r="A402" s="79"/>
      <c r="B402" s="77" t="str">
        <f t="shared" ca="1" si="12"/>
        <v/>
      </c>
      <c r="C402" s="11" t="str">
        <f t="shared" ca="1" si="13"/>
        <v/>
      </c>
    </row>
    <row r="403" spans="1:3" x14ac:dyDescent="0.15">
      <c r="A403" s="79"/>
      <c r="B403" s="77" t="str">
        <f t="shared" ca="1" si="12"/>
        <v/>
      </c>
      <c r="C403" s="11" t="str">
        <f t="shared" ca="1" si="13"/>
        <v/>
      </c>
    </row>
    <row r="404" spans="1:3" x14ac:dyDescent="0.15">
      <c r="A404" s="79"/>
      <c r="B404" s="77" t="str">
        <f t="shared" ca="1" si="12"/>
        <v/>
      </c>
      <c r="C404" s="11" t="str">
        <f t="shared" ca="1" si="13"/>
        <v/>
      </c>
    </row>
    <row r="405" spans="1:3" x14ac:dyDescent="0.15">
      <c r="A405" s="79"/>
      <c r="B405" s="77" t="str">
        <f t="shared" ca="1" si="12"/>
        <v/>
      </c>
      <c r="C405" s="11" t="str">
        <f t="shared" ca="1" si="13"/>
        <v/>
      </c>
    </row>
    <row r="406" spans="1:3" x14ac:dyDescent="0.15">
      <c r="A406" s="79"/>
      <c r="B406" s="77" t="str">
        <f t="shared" ca="1" si="12"/>
        <v/>
      </c>
      <c r="C406" s="11" t="str">
        <f t="shared" ca="1" si="13"/>
        <v/>
      </c>
    </row>
    <row r="407" spans="1:3" x14ac:dyDescent="0.15">
      <c r="A407" s="79"/>
      <c r="B407" s="77" t="str">
        <f t="shared" ca="1" si="12"/>
        <v/>
      </c>
      <c r="C407" s="11" t="str">
        <f t="shared" ca="1" si="13"/>
        <v/>
      </c>
    </row>
    <row r="408" spans="1:3" x14ac:dyDescent="0.15">
      <c r="A408" s="79"/>
      <c r="B408" s="77" t="str">
        <f t="shared" ca="1" si="12"/>
        <v/>
      </c>
      <c r="C408" s="11" t="str">
        <f t="shared" ca="1" si="13"/>
        <v/>
      </c>
    </row>
    <row r="409" spans="1:3" x14ac:dyDescent="0.15">
      <c r="A409" s="79"/>
      <c r="B409" s="77" t="str">
        <f t="shared" ca="1" si="12"/>
        <v/>
      </c>
      <c r="C409" s="11" t="str">
        <f t="shared" ca="1" si="13"/>
        <v/>
      </c>
    </row>
    <row r="410" spans="1:3" x14ac:dyDescent="0.15">
      <c r="A410" s="79"/>
      <c r="B410" s="77" t="str">
        <f t="shared" ca="1" si="12"/>
        <v/>
      </c>
      <c r="C410" s="11" t="str">
        <f t="shared" ca="1" si="13"/>
        <v/>
      </c>
    </row>
    <row r="411" spans="1:3" x14ac:dyDescent="0.15">
      <c r="A411" s="79"/>
      <c r="B411" s="77" t="str">
        <f t="shared" ca="1" si="12"/>
        <v/>
      </c>
      <c r="C411" s="11" t="str">
        <f t="shared" ca="1" si="13"/>
        <v/>
      </c>
    </row>
    <row r="412" spans="1:3" x14ac:dyDescent="0.15">
      <c r="A412" s="79"/>
      <c r="B412" s="77" t="str">
        <f t="shared" ca="1" si="12"/>
        <v/>
      </c>
      <c r="C412" s="11" t="str">
        <f t="shared" ca="1" si="13"/>
        <v/>
      </c>
    </row>
    <row r="413" spans="1:3" x14ac:dyDescent="0.15">
      <c r="A413" s="79"/>
      <c r="B413" s="77" t="str">
        <f t="shared" ca="1" si="12"/>
        <v/>
      </c>
      <c r="C413" s="11" t="str">
        <f t="shared" ca="1" si="13"/>
        <v/>
      </c>
    </row>
    <row r="414" spans="1:3" x14ac:dyDescent="0.15">
      <c r="A414" s="79"/>
      <c r="B414" s="77" t="str">
        <f t="shared" ca="1" si="12"/>
        <v/>
      </c>
      <c r="C414" s="11" t="str">
        <f t="shared" ca="1" si="13"/>
        <v/>
      </c>
    </row>
    <row r="415" spans="1:3" x14ac:dyDescent="0.15">
      <c r="A415" s="79"/>
      <c r="B415" s="77" t="str">
        <f t="shared" ca="1" si="12"/>
        <v/>
      </c>
      <c r="C415" s="11" t="str">
        <f t="shared" ca="1" si="13"/>
        <v/>
      </c>
    </row>
    <row r="416" spans="1:3" x14ac:dyDescent="0.15">
      <c r="A416" s="79"/>
      <c r="B416" s="77" t="str">
        <f t="shared" ca="1" si="12"/>
        <v/>
      </c>
      <c r="C416" s="11" t="str">
        <f t="shared" ca="1" si="13"/>
        <v/>
      </c>
    </row>
    <row r="417" spans="1:3" x14ac:dyDescent="0.15">
      <c r="A417" s="79"/>
      <c r="B417" s="77" t="str">
        <f t="shared" ca="1" si="12"/>
        <v/>
      </c>
      <c r="C417" s="11" t="str">
        <f t="shared" ca="1" si="13"/>
        <v/>
      </c>
    </row>
    <row r="418" spans="1:3" x14ac:dyDescent="0.15">
      <c r="A418" s="79"/>
      <c r="B418" s="77" t="str">
        <f t="shared" ca="1" si="12"/>
        <v/>
      </c>
      <c r="C418" s="11" t="str">
        <f t="shared" ca="1" si="13"/>
        <v/>
      </c>
    </row>
    <row r="419" spans="1:3" x14ac:dyDescent="0.15">
      <c r="A419" s="79"/>
      <c r="B419" s="77" t="str">
        <f t="shared" ca="1" si="12"/>
        <v/>
      </c>
      <c r="C419" s="11" t="str">
        <f t="shared" ca="1" si="13"/>
        <v/>
      </c>
    </row>
    <row r="420" spans="1:3" x14ac:dyDescent="0.15">
      <c r="A420" s="79"/>
      <c r="B420" s="77" t="str">
        <f t="shared" ca="1" si="12"/>
        <v/>
      </c>
      <c r="C420" s="11" t="str">
        <f t="shared" ca="1" si="13"/>
        <v/>
      </c>
    </row>
    <row r="421" spans="1:3" x14ac:dyDescent="0.15">
      <c r="A421" s="79"/>
      <c r="B421" s="77" t="str">
        <f t="shared" ca="1" si="12"/>
        <v/>
      </c>
      <c r="C421" s="11" t="str">
        <f t="shared" ca="1" si="13"/>
        <v/>
      </c>
    </row>
    <row r="422" spans="1:3" x14ac:dyDescent="0.15">
      <c r="A422" s="79"/>
      <c r="B422" s="77" t="str">
        <f t="shared" ca="1" si="12"/>
        <v/>
      </c>
      <c r="C422" s="11" t="str">
        <f t="shared" ca="1" si="13"/>
        <v/>
      </c>
    </row>
    <row r="423" spans="1:3" x14ac:dyDescent="0.15">
      <c r="A423" s="79"/>
      <c r="B423" s="77" t="str">
        <f t="shared" ca="1" si="12"/>
        <v/>
      </c>
      <c r="C423" s="11" t="str">
        <f t="shared" ca="1" si="13"/>
        <v/>
      </c>
    </row>
    <row r="424" spans="1:3" x14ac:dyDescent="0.15">
      <c r="A424" s="79"/>
      <c r="B424" s="77" t="str">
        <f t="shared" ca="1" si="12"/>
        <v/>
      </c>
      <c r="C424" s="11" t="str">
        <f t="shared" ca="1" si="13"/>
        <v/>
      </c>
    </row>
    <row r="425" spans="1:3" x14ac:dyDescent="0.15">
      <c r="A425" s="79"/>
      <c r="B425" s="77" t="str">
        <f t="shared" ca="1" si="12"/>
        <v/>
      </c>
      <c r="C425" s="11" t="str">
        <f t="shared" ca="1" si="13"/>
        <v/>
      </c>
    </row>
    <row r="426" spans="1:3" x14ac:dyDescent="0.15">
      <c r="A426" s="79"/>
      <c r="B426" s="77" t="str">
        <f t="shared" ca="1" si="12"/>
        <v/>
      </c>
      <c r="C426" s="11" t="str">
        <f t="shared" ca="1" si="13"/>
        <v/>
      </c>
    </row>
    <row r="427" spans="1:3" x14ac:dyDescent="0.15">
      <c r="A427" s="79"/>
      <c r="B427" s="77" t="str">
        <f t="shared" ca="1" si="12"/>
        <v/>
      </c>
      <c r="C427" s="11" t="str">
        <f t="shared" ca="1" si="13"/>
        <v/>
      </c>
    </row>
    <row r="428" spans="1:3" x14ac:dyDescent="0.15">
      <c r="A428" s="79"/>
      <c r="B428" s="77" t="str">
        <f t="shared" ca="1" si="12"/>
        <v/>
      </c>
      <c r="C428" s="11" t="str">
        <f t="shared" ca="1" si="13"/>
        <v/>
      </c>
    </row>
    <row r="429" spans="1:3" x14ac:dyDescent="0.15">
      <c r="A429" s="79"/>
      <c r="B429" s="77" t="str">
        <f t="shared" ca="1" si="12"/>
        <v/>
      </c>
      <c r="C429" s="11" t="str">
        <f t="shared" ca="1" si="13"/>
        <v/>
      </c>
    </row>
    <row r="430" spans="1:3" x14ac:dyDescent="0.15">
      <c r="A430" s="79"/>
      <c r="B430" s="77" t="str">
        <f t="shared" ca="1" si="12"/>
        <v/>
      </c>
      <c r="C430" s="11" t="str">
        <f t="shared" ca="1" si="13"/>
        <v/>
      </c>
    </row>
    <row r="431" spans="1:3" x14ac:dyDescent="0.15">
      <c r="A431" s="79"/>
      <c r="B431" s="77" t="str">
        <f t="shared" ca="1" si="12"/>
        <v/>
      </c>
      <c r="C431" s="11" t="str">
        <f t="shared" ca="1" si="13"/>
        <v/>
      </c>
    </row>
    <row r="432" spans="1:3" x14ac:dyDescent="0.15">
      <c r="A432" s="79"/>
      <c r="B432" s="77" t="str">
        <f t="shared" ca="1" si="12"/>
        <v/>
      </c>
      <c r="C432" s="11" t="str">
        <f t="shared" ca="1" si="13"/>
        <v/>
      </c>
    </row>
    <row r="433" spans="1:3" x14ac:dyDescent="0.15">
      <c r="A433" s="79"/>
      <c r="B433" s="77" t="str">
        <f t="shared" ca="1" si="12"/>
        <v/>
      </c>
      <c r="C433" s="11" t="str">
        <f t="shared" ca="1" si="13"/>
        <v/>
      </c>
    </row>
    <row r="434" spans="1:3" x14ac:dyDescent="0.15">
      <c r="A434" s="79"/>
      <c r="B434" s="77" t="str">
        <f t="shared" ca="1" si="12"/>
        <v/>
      </c>
      <c r="C434" s="11" t="str">
        <f t="shared" ca="1" si="13"/>
        <v/>
      </c>
    </row>
    <row r="435" spans="1:3" x14ac:dyDescent="0.15">
      <c r="A435" s="79"/>
      <c r="B435" s="77" t="str">
        <f t="shared" ca="1" si="12"/>
        <v/>
      </c>
      <c r="C435" s="11" t="str">
        <f t="shared" ca="1" si="13"/>
        <v/>
      </c>
    </row>
    <row r="436" spans="1:3" x14ac:dyDescent="0.15">
      <c r="A436" s="79"/>
      <c r="B436" s="77" t="str">
        <f t="shared" ca="1" si="12"/>
        <v/>
      </c>
      <c r="C436" s="11" t="str">
        <f t="shared" ca="1" si="13"/>
        <v/>
      </c>
    </row>
    <row r="437" spans="1:3" x14ac:dyDescent="0.15">
      <c r="A437" s="79"/>
      <c r="B437" s="77" t="str">
        <f t="shared" ca="1" si="12"/>
        <v/>
      </c>
      <c r="C437" s="11" t="str">
        <f t="shared" ca="1" si="13"/>
        <v/>
      </c>
    </row>
    <row r="438" spans="1:3" x14ac:dyDescent="0.15">
      <c r="A438" s="79"/>
      <c r="B438" s="77" t="str">
        <f t="shared" ca="1" si="12"/>
        <v/>
      </c>
      <c r="C438" s="11" t="str">
        <f t="shared" ca="1" si="13"/>
        <v/>
      </c>
    </row>
    <row r="439" spans="1:3" x14ac:dyDescent="0.15">
      <c r="A439" s="79"/>
      <c r="B439" s="77" t="str">
        <f t="shared" ca="1" si="12"/>
        <v/>
      </c>
      <c r="C439" s="11" t="str">
        <f t="shared" ca="1" si="13"/>
        <v/>
      </c>
    </row>
    <row r="440" spans="1:3" x14ac:dyDescent="0.15">
      <c r="A440" s="79"/>
      <c r="B440" s="77" t="str">
        <f t="shared" ca="1" si="12"/>
        <v/>
      </c>
      <c r="C440" s="11" t="str">
        <f t="shared" ca="1" si="13"/>
        <v/>
      </c>
    </row>
    <row r="441" spans="1:3" x14ac:dyDescent="0.15">
      <c r="A441" s="79"/>
      <c r="B441" s="77" t="str">
        <f t="shared" ca="1" si="12"/>
        <v/>
      </c>
      <c r="C441" s="11" t="str">
        <f t="shared" ca="1" si="13"/>
        <v/>
      </c>
    </row>
    <row r="442" spans="1:3" x14ac:dyDescent="0.15">
      <c r="A442" s="79"/>
      <c r="B442" s="77" t="str">
        <f t="shared" ca="1" si="12"/>
        <v/>
      </c>
      <c r="C442" s="11" t="str">
        <f t="shared" ca="1" si="13"/>
        <v/>
      </c>
    </row>
    <row r="443" spans="1:3" x14ac:dyDescent="0.15">
      <c r="A443" s="79"/>
      <c r="B443" s="77" t="str">
        <f t="shared" ca="1" si="12"/>
        <v/>
      </c>
      <c r="C443" s="11" t="str">
        <f t="shared" ca="1" si="13"/>
        <v/>
      </c>
    </row>
    <row r="444" spans="1:3" x14ac:dyDescent="0.15">
      <c r="A444" s="79"/>
      <c r="B444" s="77" t="str">
        <f t="shared" ca="1" si="12"/>
        <v/>
      </c>
      <c r="C444" s="11" t="str">
        <f t="shared" ca="1" si="13"/>
        <v/>
      </c>
    </row>
    <row r="445" spans="1:3" x14ac:dyDescent="0.15">
      <c r="A445" s="79"/>
      <c r="B445" s="77" t="str">
        <f t="shared" ca="1" si="12"/>
        <v/>
      </c>
      <c r="C445" s="11" t="str">
        <f t="shared" ca="1" si="13"/>
        <v/>
      </c>
    </row>
    <row r="446" spans="1:3" x14ac:dyDescent="0.15">
      <c r="A446" s="79"/>
      <c r="B446" s="77" t="str">
        <f t="shared" ca="1" si="12"/>
        <v/>
      </c>
      <c r="C446" s="11" t="str">
        <f t="shared" ca="1" si="13"/>
        <v/>
      </c>
    </row>
    <row r="447" spans="1:3" x14ac:dyDescent="0.15">
      <c r="A447" s="79"/>
      <c r="B447" s="77" t="str">
        <f t="shared" ca="1" si="12"/>
        <v/>
      </c>
      <c r="C447" s="11" t="str">
        <f t="shared" ca="1" si="13"/>
        <v/>
      </c>
    </row>
    <row r="448" spans="1:3" x14ac:dyDescent="0.15">
      <c r="A448" s="79"/>
      <c r="B448" s="77" t="str">
        <f t="shared" ca="1" si="12"/>
        <v/>
      </c>
      <c r="C448" s="11" t="str">
        <f t="shared" ca="1" si="13"/>
        <v/>
      </c>
    </row>
    <row r="449" spans="1:3" x14ac:dyDescent="0.15">
      <c r="A449" s="79"/>
      <c r="B449" s="77" t="str">
        <f t="shared" ca="1" si="12"/>
        <v/>
      </c>
      <c r="C449" s="11" t="str">
        <f t="shared" ca="1" si="13"/>
        <v/>
      </c>
    </row>
    <row r="450" spans="1:3" x14ac:dyDescent="0.15">
      <c r="A450" s="79"/>
      <c r="B450" s="77" t="str">
        <f t="shared" ref="B450:B513" ca="1" si="14">IFERROR(VLOOKUP(TEXT(A450,"00000000"),analysis_table_by_barcode,15,FALSE),"")</f>
        <v/>
      </c>
      <c r="C450" s="11" t="str">
        <f t="shared" ref="C450:C513" ca="1" si="15">IF($B450&lt;&gt;"", IF(VLOOKUP(B450, final_to_ministry_result,2,FALSE)&lt;&gt;"",VLOOKUP(B450, final_to_ministry_result,2,FALSE),""),"")</f>
        <v/>
      </c>
    </row>
    <row r="451" spans="1:3" x14ac:dyDescent="0.15">
      <c r="A451" s="79"/>
      <c r="B451" s="77" t="str">
        <f t="shared" ca="1" si="14"/>
        <v/>
      </c>
      <c r="C451" s="11" t="str">
        <f t="shared" ca="1" si="15"/>
        <v/>
      </c>
    </row>
    <row r="452" spans="1:3" x14ac:dyDescent="0.15">
      <c r="A452" s="79"/>
      <c r="B452" s="77" t="str">
        <f t="shared" ca="1" si="14"/>
        <v/>
      </c>
      <c r="C452" s="11" t="str">
        <f t="shared" ca="1" si="15"/>
        <v/>
      </c>
    </row>
    <row r="453" spans="1:3" x14ac:dyDescent="0.15">
      <c r="A453" s="79"/>
      <c r="B453" s="77" t="str">
        <f t="shared" ca="1" si="14"/>
        <v/>
      </c>
      <c r="C453" s="11" t="str">
        <f t="shared" ca="1" si="15"/>
        <v/>
      </c>
    </row>
    <row r="454" spans="1:3" x14ac:dyDescent="0.15">
      <c r="A454" s="79"/>
      <c r="B454" s="77" t="str">
        <f t="shared" ca="1" si="14"/>
        <v/>
      </c>
      <c r="C454" s="11" t="str">
        <f t="shared" ca="1" si="15"/>
        <v/>
      </c>
    </row>
    <row r="455" spans="1:3" x14ac:dyDescent="0.15">
      <c r="A455" s="79"/>
      <c r="B455" s="77" t="str">
        <f t="shared" ca="1" si="14"/>
        <v/>
      </c>
      <c r="C455" s="11" t="str">
        <f t="shared" ca="1" si="15"/>
        <v/>
      </c>
    </row>
    <row r="456" spans="1:3" x14ac:dyDescent="0.15">
      <c r="A456" s="79"/>
      <c r="B456" s="77" t="str">
        <f t="shared" ca="1" si="14"/>
        <v/>
      </c>
      <c r="C456" s="11" t="str">
        <f t="shared" ca="1" si="15"/>
        <v/>
      </c>
    </row>
    <row r="457" spans="1:3" x14ac:dyDescent="0.15">
      <c r="A457" s="79"/>
      <c r="B457" s="77" t="str">
        <f t="shared" ca="1" si="14"/>
        <v/>
      </c>
      <c r="C457" s="11" t="str">
        <f t="shared" ca="1" si="15"/>
        <v/>
      </c>
    </row>
    <row r="458" spans="1:3" x14ac:dyDescent="0.15">
      <c r="A458" s="79"/>
      <c r="B458" s="77" t="str">
        <f t="shared" ca="1" si="14"/>
        <v/>
      </c>
      <c r="C458" s="11" t="str">
        <f t="shared" ca="1" si="15"/>
        <v/>
      </c>
    </row>
    <row r="459" spans="1:3" x14ac:dyDescent="0.15">
      <c r="A459" s="79"/>
      <c r="B459" s="77" t="str">
        <f t="shared" ca="1" si="14"/>
        <v/>
      </c>
      <c r="C459" s="11" t="str">
        <f t="shared" ca="1" si="15"/>
        <v/>
      </c>
    </row>
    <row r="460" spans="1:3" x14ac:dyDescent="0.15">
      <c r="A460" s="79"/>
      <c r="B460" s="77" t="str">
        <f t="shared" ca="1" si="14"/>
        <v/>
      </c>
      <c r="C460" s="11" t="str">
        <f t="shared" ca="1" si="15"/>
        <v/>
      </c>
    </row>
    <row r="461" spans="1:3" x14ac:dyDescent="0.15">
      <c r="A461" s="79"/>
      <c r="B461" s="77" t="str">
        <f t="shared" ca="1" si="14"/>
        <v/>
      </c>
      <c r="C461" s="11" t="str">
        <f t="shared" ca="1" si="15"/>
        <v/>
      </c>
    </row>
    <row r="462" spans="1:3" x14ac:dyDescent="0.15">
      <c r="A462" s="79"/>
      <c r="B462" s="77" t="str">
        <f t="shared" ca="1" si="14"/>
        <v/>
      </c>
      <c r="C462" s="11" t="str">
        <f t="shared" ca="1" si="15"/>
        <v/>
      </c>
    </row>
    <row r="463" spans="1:3" x14ac:dyDescent="0.15">
      <c r="A463" s="79"/>
      <c r="B463" s="77" t="str">
        <f t="shared" ca="1" si="14"/>
        <v/>
      </c>
      <c r="C463" s="11" t="str">
        <f t="shared" ca="1" si="15"/>
        <v/>
      </c>
    </row>
    <row r="464" spans="1:3" x14ac:dyDescent="0.15">
      <c r="A464" s="79"/>
      <c r="B464" s="77" t="str">
        <f t="shared" ca="1" si="14"/>
        <v/>
      </c>
      <c r="C464" s="11" t="str">
        <f t="shared" ca="1" si="15"/>
        <v/>
      </c>
    </row>
    <row r="465" spans="1:3" x14ac:dyDescent="0.15">
      <c r="A465" s="79"/>
      <c r="B465" s="77" t="str">
        <f t="shared" ca="1" si="14"/>
        <v/>
      </c>
      <c r="C465" s="11" t="str">
        <f t="shared" ca="1" si="15"/>
        <v/>
      </c>
    </row>
    <row r="466" spans="1:3" x14ac:dyDescent="0.15">
      <c r="A466" s="79"/>
      <c r="B466" s="77" t="str">
        <f t="shared" ca="1" si="14"/>
        <v/>
      </c>
      <c r="C466" s="11" t="str">
        <f t="shared" ca="1" si="15"/>
        <v/>
      </c>
    </row>
    <row r="467" spans="1:3" x14ac:dyDescent="0.15">
      <c r="A467" s="79"/>
      <c r="B467" s="77" t="str">
        <f t="shared" ca="1" si="14"/>
        <v/>
      </c>
      <c r="C467" s="11" t="str">
        <f t="shared" ca="1" si="15"/>
        <v/>
      </c>
    </row>
    <row r="468" spans="1:3" x14ac:dyDescent="0.15">
      <c r="A468" s="79"/>
      <c r="B468" s="77" t="str">
        <f t="shared" ca="1" si="14"/>
        <v/>
      </c>
      <c r="C468" s="11" t="str">
        <f t="shared" ca="1" si="15"/>
        <v/>
      </c>
    </row>
    <row r="469" spans="1:3" x14ac:dyDescent="0.15">
      <c r="A469" s="79"/>
      <c r="B469" s="77" t="str">
        <f t="shared" ca="1" si="14"/>
        <v/>
      </c>
      <c r="C469" s="11" t="str">
        <f t="shared" ca="1" si="15"/>
        <v/>
      </c>
    </row>
    <row r="470" spans="1:3" x14ac:dyDescent="0.15">
      <c r="A470" s="79"/>
      <c r="B470" s="77" t="str">
        <f t="shared" ca="1" si="14"/>
        <v/>
      </c>
      <c r="C470" s="11" t="str">
        <f t="shared" ca="1" si="15"/>
        <v/>
      </c>
    </row>
    <row r="471" spans="1:3" x14ac:dyDescent="0.15">
      <c r="A471" s="79"/>
      <c r="B471" s="77" t="str">
        <f t="shared" ca="1" si="14"/>
        <v/>
      </c>
      <c r="C471" s="11" t="str">
        <f t="shared" ca="1" si="15"/>
        <v/>
      </c>
    </row>
    <row r="472" spans="1:3" x14ac:dyDescent="0.15">
      <c r="A472" s="79"/>
      <c r="B472" s="77" t="str">
        <f t="shared" ca="1" si="14"/>
        <v/>
      </c>
      <c r="C472" s="11" t="str">
        <f t="shared" ca="1" si="15"/>
        <v/>
      </c>
    </row>
    <row r="473" spans="1:3" x14ac:dyDescent="0.15">
      <c r="A473" s="79"/>
      <c r="B473" s="77" t="str">
        <f t="shared" ca="1" si="14"/>
        <v/>
      </c>
      <c r="C473" s="11" t="str">
        <f t="shared" ca="1" si="15"/>
        <v/>
      </c>
    </row>
    <row r="474" spans="1:3" x14ac:dyDescent="0.15">
      <c r="A474" s="79"/>
      <c r="B474" s="77" t="str">
        <f t="shared" ca="1" si="14"/>
        <v/>
      </c>
      <c r="C474" s="11" t="str">
        <f t="shared" ca="1" si="15"/>
        <v/>
      </c>
    </row>
    <row r="475" spans="1:3" x14ac:dyDescent="0.15">
      <c r="A475" s="79"/>
      <c r="B475" s="77" t="str">
        <f t="shared" ca="1" si="14"/>
        <v/>
      </c>
      <c r="C475" s="11" t="str">
        <f t="shared" ca="1" si="15"/>
        <v/>
      </c>
    </row>
    <row r="476" spans="1:3" x14ac:dyDescent="0.15">
      <c r="A476" s="79"/>
      <c r="B476" s="77" t="str">
        <f t="shared" ca="1" si="14"/>
        <v/>
      </c>
      <c r="C476" s="11" t="str">
        <f t="shared" ca="1" si="15"/>
        <v/>
      </c>
    </row>
    <row r="477" spans="1:3" x14ac:dyDescent="0.15">
      <c r="A477" s="79"/>
      <c r="B477" s="77" t="str">
        <f t="shared" ca="1" si="14"/>
        <v/>
      </c>
      <c r="C477" s="11" t="str">
        <f t="shared" ca="1" si="15"/>
        <v/>
      </c>
    </row>
    <row r="478" spans="1:3" x14ac:dyDescent="0.15">
      <c r="A478" s="79"/>
      <c r="B478" s="77" t="str">
        <f t="shared" ca="1" si="14"/>
        <v/>
      </c>
      <c r="C478" s="11" t="str">
        <f t="shared" ca="1" si="15"/>
        <v/>
      </c>
    </row>
    <row r="479" spans="1:3" x14ac:dyDescent="0.15">
      <c r="A479" s="79"/>
      <c r="B479" s="77" t="str">
        <f t="shared" ca="1" si="14"/>
        <v/>
      </c>
      <c r="C479" s="11" t="str">
        <f t="shared" ca="1" si="15"/>
        <v/>
      </c>
    </row>
    <row r="480" spans="1:3" x14ac:dyDescent="0.15">
      <c r="A480" s="79"/>
      <c r="B480" s="77" t="str">
        <f t="shared" ca="1" si="14"/>
        <v/>
      </c>
      <c r="C480" s="11" t="str">
        <f t="shared" ca="1" si="15"/>
        <v/>
      </c>
    </row>
    <row r="481" spans="1:3" x14ac:dyDescent="0.15">
      <c r="A481" s="79"/>
      <c r="B481" s="77" t="str">
        <f t="shared" ca="1" si="14"/>
        <v/>
      </c>
      <c r="C481" s="11" t="str">
        <f t="shared" ca="1" si="15"/>
        <v/>
      </c>
    </row>
    <row r="482" spans="1:3" x14ac:dyDescent="0.15">
      <c r="A482" s="79"/>
      <c r="B482" s="77" t="str">
        <f t="shared" ca="1" si="14"/>
        <v/>
      </c>
      <c r="C482" s="11" t="str">
        <f t="shared" ca="1" si="15"/>
        <v/>
      </c>
    </row>
    <row r="483" spans="1:3" x14ac:dyDescent="0.15">
      <c r="A483" s="79"/>
      <c r="B483" s="77" t="str">
        <f t="shared" ca="1" si="14"/>
        <v/>
      </c>
      <c r="C483" s="11" t="str">
        <f t="shared" ca="1" si="15"/>
        <v/>
      </c>
    </row>
    <row r="484" spans="1:3" x14ac:dyDescent="0.15">
      <c r="A484" s="79"/>
      <c r="B484" s="77" t="str">
        <f t="shared" ca="1" si="14"/>
        <v/>
      </c>
      <c r="C484" s="11" t="str">
        <f t="shared" ca="1" si="15"/>
        <v/>
      </c>
    </row>
    <row r="485" spans="1:3" x14ac:dyDescent="0.15">
      <c r="A485" s="79"/>
      <c r="B485" s="77" t="str">
        <f t="shared" ca="1" si="14"/>
        <v/>
      </c>
      <c r="C485" s="11" t="str">
        <f t="shared" ca="1" si="15"/>
        <v/>
      </c>
    </row>
    <row r="486" spans="1:3" x14ac:dyDescent="0.15">
      <c r="A486" s="79"/>
      <c r="B486" s="77" t="str">
        <f t="shared" ca="1" si="14"/>
        <v/>
      </c>
      <c r="C486" s="11" t="str">
        <f t="shared" ca="1" si="15"/>
        <v/>
      </c>
    </row>
    <row r="487" spans="1:3" x14ac:dyDescent="0.15">
      <c r="A487" s="79"/>
      <c r="B487" s="77" t="str">
        <f t="shared" ca="1" si="14"/>
        <v/>
      </c>
      <c r="C487" s="11" t="str">
        <f t="shared" ca="1" si="15"/>
        <v/>
      </c>
    </row>
    <row r="488" spans="1:3" x14ac:dyDescent="0.15">
      <c r="A488" s="79"/>
      <c r="B488" s="77" t="str">
        <f t="shared" ca="1" si="14"/>
        <v/>
      </c>
      <c r="C488" s="11" t="str">
        <f t="shared" ca="1" si="15"/>
        <v/>
      </c>
    </row>
    <row r="489" spans="1:3" x14ac:dyDescent="0.15">
      <c r="A489" s="79"/>
      <c r="B489" s="77" t="str">
        <f t="shared" ca="1" si="14"/>
        <v/>
      </c>
      <c r="C489" s="11" t="str">
        <f t="shared" ca="1" si="15"/>
        <v/>
      </c>
    </row>
    <row r="490" spans="1:3" x14ac:dyDescent="0.15">
      <c r="A490" s="79"/>
      <c r="B490" s="77" t="str">
        <f t="shared" ca="1" si="14"/>
        <v/>
      </c>
      <c r="C490" s="11" t="str">
        <f t="shared" ca="1" si="15"/>
        <v/>
      </c>
    </row>
    <row r="491" spans="1:3" x14ac:dyDescent="0.15">
      <c r="A491" s="79"/>
      <c r="B491" s="77" t="str">
        <f t="shared" ca="1" si="14"/>
        <v/>
      </c>
      <c r="C491" s="11" t="str">
        <f t="shared" ca="1" si="15"/>
        <v/>
      </c>
    </row>
    <row r="492" spans="1:3" x14ac:dyDescent="0.15">
      <c r="A492" s="79"/>
      <c r="B492" s="77" t="str">
        <f t="shared" ca="1" si="14"/>
        <v/>
      </c>
      <c r="C492" s="11" t="str">
        <f t="shared" ca="1" si="15"/>
        <v/>
      </c>
    </row>
    <row r="493" spans="1:3" x14ac:dyDescent="0.15">
      <c r="A493" s="79"/>
      <c r="B493" s="77" t="str">
        <f t="shared" ca="1" si="14"/>
        <v/>
      </c>
      <c r="C493" s="11" t="str">
        <f t="shared" ca="1" si="15"/>
        <v/>
      </c>
    </row>
    <row r="494" spans="1:3" x14ac:dyDescent="0.15">
      <c r="A494" s="79"/>
      <c r="B494" s="77" t="str">
        <f t="shared" ca="1" si="14"/>
        <v/>
      </c>
      <c r="C494" s="11" t="str">
        <f t="shared" ca="1" si="15"/>
        <v/>
      </c>
    </row>
    <row r="495" spans="1:3" x14ac:dyDescent="0.15">
      <c r="A495" s="79"/>
      <c r="B495" s="77" t="str">
        <f t="shared" ca="1" si="14"/>
        <v/>
      </c>
      <c r="C495" s="11" t="str">
        <f t="shared" ca="1" si="15"/>
        <v/>
      </c>
    </row>
    <row r="496" spans="1:3" x14ac:dyDescent="0.15">
      <c r="A496" s="79"/>
      <c r="B496" s="77" t="str">
        <f t="shared" ca="1" si="14"/>
        <v/>
      </c>
      <c r="C496" s="11" t="str">
        <f t="shared" ca="1" si="15"/>
        <v/>
      </c>
    </row>
    <row r="497" spans="1:3" x14ac:dyDescent="0.15">
      <c r="A497" s="79"/>
      <c r="B497" s="77" t="str">
        <f t="shared" ca="1" si="14"/>
        <v/>
      </c>
      <c r="C497" s="11" t="str">
        <f t="shared" ca="1" si="15"/>
        <v/>
      </c>
    </row>
    <row r="498" spans="1:3" x14ac:dyDescent="0.15">
      <c r="A498" s="79"/>
      <c r="B498" s="77" t="str">
        <f t="shared" ca="1" si="14"/>
        <v/>
      </c>
      <c r="C498" s="11" t="str">
        <f t="shared" ca="1" si="15"/>
        <v/>
      </c>
    </row>
    <row r="499" spans="1:3" x14ac:dyDescent="0.15">
      <c r="A499" s="79"/>
      <c r="B499" s="77" t="str">
        <f t="shared" ca="1" si="14"/>
        <v/>
      </c>
      <c r="C499" s="11" t="str">
        <f t="shared" ca="1" si="15"/>
        <v/>
      </c>
    </row>
    <row r="500" spans="1:3" x14ac:dyDescent="0.15">
      <c r="A500" s="79"/>
      <c r="B500" s="77" t="str">
        <f t="shared" ca="1" si="14"/>
        <v/>
      </c>
      <c r="C500" s="11" t="str">
        <f t="shared" ca="1" si="15"/>
        <v/>
      </c>
    </row>
    <row r="501" spans="1:3" x14ac:dyDescent="0.15">
      <c r="A501" s="79"/>
      <c r="B501" s="77" t="str">
        <f t="shared" ca="1" si="14"/>
        <v/>
      </c>
      <c r="C501" s="11" t="str">
        <f t="shared" ca="1" si="15"/>
        <v/>
      </c>
    </row>
    <row r="502" spans="1:3" x14ac:dyDescent="0.15">
      <c r="A502" s="79"/>
      <c r="B502" s="77" t="str">
        <f t="shared" ca="1" si="14"/>
        <v/>
      </c>
      <c r="C502" s="11" t="str">
        <f t="shared" ca="1" si="15"/>
        <v/>
      </c>
    </row>
    <row r="503" spans="1:3" x14ac:dyDescent="0.15">
      <c r="A503" s="79"/>
      <c r="B503" s="77" t="str">
        <f t="shared" ca="1" si="14"/>
        <v/>
      </c>
      <c r="C503" s="11" t="str">
        <f t="shared" ca="1" si="15"/>
        <v/>
      </c>
    </row>
    <row r="504" spans="1:3" x14ac:dyDescent="0.15">
      <c r="A504" s="79"/>
      <c r="B504" s="77" t="str">
        <f t="shared" ca="1" si="14"/>
        <v/>
      </c>
      <c r="C504" s="11" t="str">
        <f t="shared" ca="1" si="15"/>
        <v/>
      </c>
    </row>
    <row r="505" spans="1:3" x14ac:dyDescent="0.15">
      <c r="A505" s="79"/>
      <c r="B505" s="77" t="str">
        <f t="shared" ca="1" si="14"/>
        <v/>
      </c>
      <c r="C505" s="11" t="str">
        <f t="shared" ca="1" si="15"/>
        <v/>
      </c>
    </row>
    <row r="506" spans="1:3" x14ac:dyDescent="0.15">
      <c r="A506" s="79"/>
      <c r="B506" s="77" t="str">
        <f t="shared" ca="1" si="14"/>
        <v/>
      </c>
      <c r="C506" s="11" t="str">
        <f t="shared" ca="1" si="15"/>
        <v/>
      </c>
    </row>
    <row r="507" spans="1:3" x14ac:dyDescent="0.15">
      <c r="A507" s="79"/>
      <c r="B507" s="77" t="str">
        <f t="shared" ca="1" si="14"/>
        <v/>
      </c>
      <c r="C507" s="11" t="str">
        <f t="shared" ca="1" si="15"/>
        <v/>
      </c>
    </row>
    <row r="508" spans="1:3" x14ac:dyDescent="0.15">
      <c r="A508" s="79"/>
      <c r="B508" s="77" t="str">
        <f t="shared" ca="1" si="14"/>
        <v/>
      </c>
      <c r="C508" s="11" t="str">
        <f t="shared" ca="1" si="15"/>
        <v/>
      </c>
    </row>
    <row r="509" spans="1:3" x14ac:dyDescent="0.15">
      <c r="A509" s="79"/>
      <c r="B509" s="77" t="str">
        <f t="shared" ca="1" si="14"/>
        <v/>
      </c>
      <c r="C509" s="11" t="str">
        <f t="shared" ca="1" si="15"/>
        <v/>
      </c>
    </row>
    <row r="510" spans="1:3" x14ac:dyDescent="0.15">
      <c r="A510" s="79"/>
      <c r="B510" s="77" t="str">
        <f t="shared" ca="1" si="14"/>
        <v/>
      </c>
      <c r="C510" s="11" t="str">
        <f t="shared" ca="1" si="15"/>
        <v/>
      </c>
    </row>
    <row r="511" spans="1:3" x14ac:dyDescent="0.15">
      <c r="A511" s="79"/>
      <c r="B511" s="77" t="str">
        <f t="shared" ca="1" si="14"/>
        <v/>
      </c>
      <c r="C511" s="11" t="str">
        <f t="shared" ca="1" si="15"/>
        <v/>
      </c>
    </row>
    <row r="512" spans="1:3" x14ac:dyDescent="0.15">
      <c r="A512" s="79"/>
      <c r="B512" s="77" t="str">
        <f t="shared" ca="1" si="14"/>
        <v/>
      </c>
      <c r="C512" s="11" t="str">
        <f t="shared" ca="1" si="15"/>
        <v/>
      </c>
    </row>
    <row r="513" spans="1:3" x14ac:dyDescent="0.15">
      <c r="A513" s="79"/>
      <c r="B513" s="77" t="str">
        <f t="shared" ca="1" si="14"/>
        <v/>
      </c>
      <c r="C513" s="11" t="str">
        <f t="shared" ca="1" si="15"/>
        <v/>
      </c>
    </row>
    <row r="514" spans="1:3" x14ac:dyDescent="0.15">
      <c r="A514" s="79"/>
      <c r="B514" s="77" t="str">
        <f t="shared" ref="B514:B577" ca="1" si="16">IFERROR(VLOOKUP(TEXT(A514,"00000000"),analysis_table_by_barcode,15,FALSE),"")</f>
        <v/>
      </c>
      <c r="C514" s="11" t="str">
        <f t="shared" ref="C514:C577" ca="1" si="17">IF($B514&lt;&gt;"", IF(VLOOKUP(B514, final_to_ministry_result,2,FALSE)&lt;&gt;"",VLOOKUP(B514, final_to_ministry_result,2,FALSE),""),"")</f>
        <v/>
      </c>
    </row>
    <row r="515" spans="1:3" x14ac:dyDescent="0.15">
      <c r="A515" s="79"/>
      <c r="B515" s="77" t="str">
        <f t="shared" ca="1" si="16"/>
        <v/>
      </c>
      <c r="C515" s="11" t="str">
        <f t="shared" ca="1" si="17"/>
        <v/>
      </c>
    </row>
    <row r="516" spans="1:3" x14ac:dyDescent="0.15">
      <c r="A516" s="79"/>
      <c r="B516" s="77" t="str">
        <f t="shared" ca="1" si="16"/>
        <v/>
      </c>
      <c r="C516" s="11" t="str">
        <f t="shared" ca="1" si="17"/>
        <v/>
      </c>
    </row>
    <row r="517" spans="1:3" x14ac:dyDescent="0.15">
      <c r="A517" s="79"/>
      <c r="B517" s="77" t="str">
        <f t="shared" ca="1" si="16"/>
        <v/>
      </c>
      <c r="C517" s="11" t="str">
        <f t="shared" ca="1" si="17"/>
        <v/>
      </c>
    </row>
    <row r="518" spans="1:3" x14ac:dyDescent="0.15">
      <c r="A518" s="79"/>
      <c r="B518" s="77" t="str">
        <f t="shared" ca="1" si="16"/>
        <v/>
      </c>
      <c r="C518" s="11" t="str">
        <f t="shared" ca="1" si="17"/>
        <v/>
      </c>
    </row>
    <row r="519" spans="1:3" x14ac:dyDescent="0.15">
      <c r="A519" s="79"/>
      <c r="B519" s="77" t="str">
        <f t="shared" ca="1" si="16"/>
        <v/>
      </c>
      <c r="C519" s="11" t="str">
        <f t="shared" ca="1" si="17"/>
        <v/>
      </c>
    </row>
    <row r="520" spans="1:3" x14ac:dyDescent="0.15">
      <c r="A520" s="79"/>
      <c r="B520" s="77" t="str">
        <f t="shared" ca="1" si="16"/>
        <v/>
      </c>
      <c r="C520" s="11" t="str">
        <f t="shared" ca="1" si="17"/>
        <v/>
      </c>
    </row>
    <row r="521" spans="1:3" x14ac:dyDescent="0.15">
      <c r="A521" s="79"/>
      <c r="B521" s="77" t="str">
        <f t="shared" ca="1" si="16"/>
        <v/>
      </c>
      <c r="C521" s="11" t="str">
        <f t="shared" ca="1" si="17"/>
        <v/>
      </c>
    </row>
    <row r="522" spans="1:3" x14ac:dyDescent="0.15">
      <c r="A522" s="79"/>
      <c r="B522" s="77" t="str">
        <f t="shared" ca="1" si="16"/>
        <v/>
      </c>
      <c r="C522" s="11" t="str">
        <f t="shared" ca="1" si="17"/>
        <v/>
      </c>
    </row>
    <row r="523" spans="1:3" x14ac:dyDescent="0.15">
      <c r="A523" s="79"/>
      <c r="B523" s="77" t="str">
        <f t="shared" ca="1" si="16"/>
        <v/>
      </c>
      <c r="C523" s="11" t="str">
        <f t="shared" ca="1" si="17"/>
        <v/>
      </c>
    </row>
    <row r="524" spans="1:3" x14ac:dyDescent="0.15">
      <c r="A524" s="79"/>
      <c r="B524" s="77" t="str">
        <f t="shared" ca="1" si="16"/>
        <v/>
      </c>
      <c r="C524" s="11" t="str">
        <f t="shared" ca="1" si="17"/>
        <v/>
      </c>
    </row>
    <row r="525" spans="1:3" x14ac:dyDescent="0.15">
      <c r="A525" s="79"/>
      <c r="B525" s="77" t="str">
        <f t="shared" ca="1" si="16"/>
        <v/>
      </c>
      <c r="C525" s="11" t="str">
        <f t="shared" ca="1" si="17"/>
        <v/>
      </c>
    </row>
    <row r="526" spans="1:3" x14ac:dyDescent="0.15">
      <c r="A526" s="79"/>
      <c r="B526" s="77" t="str">
        <f t="shared" ca="1" si="16"/>
        <v/>
      </c>
      <c r="C526" s="11" t="str">
        <f t="shared" ca="1" si="17"/>
        <v/>
      </c>
    </row>
    <row r="527" spans="1:3" x14ac:dyDescent="0.15">
      <c r="A527" s="79"/>
      <c r="B527" s="77" t="str">
        <f t="shared" ca="1" si="16"/>
        <v/>
      </c>
      <c r="C527" s="11" t="str">
        <f t="shared" ca="1" si="17"/>
        <v/>
      </c>
    </row>
    <row r="528" spans="1:3" x14ac:dyDescent="0.15">
      <c r="A528" s="79"/>
      <c r="B528" s="77" t="str">
        <f t="shared" ca="1" si="16"/>
        <v/>
      </c>
      <c r="C528" s="11" t="str">
        <f t="shared" ca="1" si="17"/>
        <v/>
      </c>
    </row>
    <row r="529" spans="1:3" x14ac:dyDescent="0.15">
      <c r="A529" s="79"/>
      <c r="B529" s="77" t="str">
        <f t="shared" ca="1" si="16"/>
        <v/>
      </c>
      <c r="C529" s="11" t="str">
        <f t="shared" ca="1" si="17"/>
        <v/>
      </c>
    </row>
    <row r="530" spans="1:3" x14ac:dyDescent="0.15">
      <c r="A530" s="79"/>
      <c r="B530" s="77" t="str">
        <f t="shared" ca="1" si="16"/>
        <v/>
      </c>
      <c r="C530" s="11" t="str">
        <f t="shared" ca="1" si="17"/>
        <v/>
      </c>
    </row>
    <row r="531" spans="1:3" x14ac:dyDescent="0.15">
      <c r="A531" s="79"/>
      <c r="B531" s="77" t="str">
        <f t="shared" ca="1" si="16"/>
        <v/>
      </c>
      <c r="C531" s="11" t="str">
        <f t="shared" ca="1" si="17"/>
        <v/>
      </c>
    </row>
    <row r="532" spans="1:3" x14ac:dyDescent="0.15">
      <c r="A532" s="79"/>
      <c r="B532" s="77" t="str">
        <f t="shared" ca="1" si="16"/>
        <v/>
      </c>
      <c r="C532" s="11" t="str">
        <f t="shared" ca="1" si="17"/>
        <v/>
      </c>
    </row>
    <row r="533" spans="1:3" x14ac:dyDescent="0.15">
      <c r="A533" s="79"/>
      <c r="B533" s="77" t="str">
        <f t="shared" ca="1" si="16"/>
        <v/>
      </c>
      <c r="C533" s="11" t="str">
        <f t="shared" ca="1" si="17"/>
        <v/>
      </c>
    </row>
    <row r="534" spans="1:3" x14ac:dyDescent="0.15">
      <c r="A534" s="79"/>
      <c r="B534" s="77" t="str">
        <f t="shared" ca="1" si="16"/>
        <v/>
      </c>
      <c r="C534" s="11" t="str">
        <f t="shared" ca="1" si="17"/>
        <v/>
      </c>
    </row>
    <row r="535" spans="1:3" x14ac:dyDescent="0.15">
      <c r="A535" s="79"/>
      <c r="B535" s="77" t="str">
        <f t="shared" ca="1" si="16"/>
        <v/>
      </c>
      <c r="C535" s="11" t="str">
        <f t="shared" ca="1" si="17"/>
        <v/>
      </c>
    </row>
    <row r="536" spans="1:3" x14ac:dyDescent="0.15">
      <c r="A536" s="79"/>
      <c r="B536" s="77" t="str">
        <f t="shared" ca="1" si="16"/>
        <v/>
      </c>
      <c r="C536" s="11" t="str">
        <f t="shared" ca="1" si="17"/>
        <v/>
      </c>
    </row>
    <row r="537" spans="1:3" x14ac:dyDescent="0.15">
      <c r="A537" s="79"/>
      <c r="B537" s="77" t="str">
        <f t="shared" ca="1" si="16"/>
        <v/>
      </c>
      <c r="C537" s="11" t="str">
        <f t="shared" ca="1" si="17"/>
        <v/>
      </c>
    </row>
    <row r="538" spans="1:3" x14ac:dyDescent="0.15">
      <c r="A538" s="79"/>
      <c r="B538" s="77" t="str">
        <f t="shared" ca="1" si="16"/>
        <v/>
      </c>
      <c r="C538" s="11" t="str">
        <f t="shared" ca="1" si="17"/>
        <v/>
      </c>
    </row>
    <row r="539" spans="1:3" x14ac:dyDescent="0.15">
      <c r="A539" s="79"/>
      <c r="B539" s="77" t="str">
        <f t="shared" ca="1" si="16"/>
        <v/>
      </c>
      <c r="C539" s="11" t="str">
        <f t="shared" ca="1" si="17"/>
        <v/>
      </c>
    </row>
    <row r="540" spans="1:3" x14ac:dyDescent="0.15">
      <c r="A540" s="79"/>
      <c r="B540" s="77" t="str">
        <f t="shared" ca="1" si="16"/>
        <v/>
      </c>
      <c r="C540" s="11" t="str">
        <f t="shared" ca="1" si="17"/>
        <v/>
      </c>
    </row>
    <row r="541" spans="1:3" x14ac:dyDescent="0.15">
      <c r="A541" s="79"/>
      <c r="B541" s="77" t="str">
        <f t="shared" ca="1" si="16"/>
        <v/>
      </c>
      <c r="C541" s="11" t="str">
        <f t="shared" ca="1" si="17"/>
        <v/>
      </c>
    </row>
    <row r="542" spans="1:3" x14ac:dyDescent="0.15">
      <c r="A542" s="79"/>
      <c r="B542" s="77" t="str">
        <f t="shared" ca="1" si="16"/>
        <v/>
      </c>
      <c r="C542" s="11" t="str">
        <f t="shared" ca="1" si="17"/>
        <v/>
      </c>
    </row>
    <row r="543" spans="1:3" x14ac:dyDescent="0.15">
      <c r="A543" s="79"/>
      <c r="B543" s="77" t="str">
        <f t="shared" ca="1" si="16"/>
        <v/>
      </c>
      <c r="C543" s="11" t="str">
        <f t="shared" ca="1" si="17"/>
        <v/>
      </c>
    </row>
    <row r="544" spans="1:3" x14ac:dyDescent="0.15">
      <c r="A544" s="79"/>
      <c r="B544" s="77" t="str">
        <f t="shared" ca="1" si="16"/>
        <v/>
      </c>
      <c r="C544" s="11" t="str">
        <f t="shared" ca="1" si="17"/>
        <v/>
      </c>
    </row>
    <row r="545" spans="1:3" x14ac:dyDescent="0.15">
      <c r="A545" s="79"/>
      <c r="B545" s="77" t="str">
        <f t="shared" ca="1" si="16"/>
        <v/>
      </c>
      <c r="C545" s="11" t="str">
        <f t="shared" ca="1" si="17"/>
        <v/>
      </c>
    </row>
    <row r="546" spans="1:3" x14ac:dyDescent="0.15">
      <c r="A546" s="79"/>
      <c r="B546" s="77" t="str">
        <f t="shared" ca="1" si="16"/>
        <v/>
      </c>
      <c r="C546" s="11" t="str">
        <f t="shared" ca="1" si="17"/>
        <v/>
      </c>
    </row>
    <row r="547" spans="1:3" x14ac:dyDescent="0.15">
      <c r="A547" s="79"/>
      <c r="B547" s="77" t="str">
        <f t="shared" ca="1" si="16"/>
        <v/>
      </c>
      <c r="C547" s="11" t="str">
        <f t="shared" ca="1" si="17"/>
        <v/>
      </c>
    </row>
    <row r="548" spans="1:3" x14ac:dyDescent="0.15">
      <c r="A548" s="79"/>
      <c r="B548" s="77" t="str">
        <f t="shared" ca="1" si="16"/>
        <v/>
      </c>
      <c r="C548" s="11" t="str">
        <f t="shared" ca="1" si="17"/>
        <v/>
      </c>
    </row>
    <row r="549" spans="1:3" x14ac:dyDescent="0.15">
      <c r="A549" s="79"/>
      <c r="B549" s="77" t="str">
        <f t="shared" ca="1" si="16"/>
        <v/>
      </c>
      <c r="C549" s="11" t="str">
        <f t="shared" ca="1" si="17"/>
        <v/>
      </c>
    </row>
    <row r="550" spans="1:3" x14ac:dyDescent="0.15">
      <c r="A550" s="79"/>
      <c r="B550" s="77" t="str">
        <f t="shared" ca="1" si="16"/>
        <v/>
      </c>
      <c r="C550" s="11" t="str">
        <f t="shared" ca="1" si="17"/>
        <v/>
      </c>
    </row>
    <row r="551" spans="1:3" x14ac:dyDescent="0.15">
      <c r="A551" s="79"/>
      <c r="B551" s="77" t="str">
        <f t="shared" ca="1" si="16"/>
        <v/>
      </c>
      <c r="C551" s="11" t="str">
        <f t="shared" ca="1" si="17"/>
        <v/>
      </c>
    </row>
    <row r="552" spans="1:3" x14ac:dyDescent="0.15">
      <c r="A552" s="79"/>
      <c r="B552" s="77" t="str">
        <f t="shared" ca="1" si="16"/>
        <v/>
      </c>
      <c r="C552" s="11" t="str">
        <f t="shared" ca="1" si="17"/>
        <v/>
      </c>
    </row>
    <row r="553" spans="1:3" x14ac:dyDescent="0.15">
      <c r="A553" s="79"/>
      <c r="B553" s="77" t="str">
        <f t="shared" ca="1" si="16"/>
        <v/>
      </c>
      <c r="C553" s="11" t="str">
        <f t="shared" ca="1" si="17"/>
        <v/>
      </c>
    </row>
    <row r="554" spans="1:3" x14ac:dyDescent="0.15">
      <c r="A554" s="79"/>
      <c r="B554" s="77" t="str">
        <f t="shared" ca="1" si="16"/>
        <v/>
      </c>
      <c r="C554" s="11" t="str">
        <f t="shared" ca="1" si="17"/>
        <v/>
      </c>
    </row>
    <row r="555" spans="1:3" x14ac:dyDescent="0.15">
      <c r="A555" s="79"/>
      <c r="B555" s="77" t="str">
        <f t="shared" ca="1" si="16"/>
        <v/>
      </c>
      <c r="C555" s="11" t="str">
        <f t="shared" ca="1" si="17"/>
        <v/>
      </c>
    </row>
    <row r="556" spans="1:3" x14ac:dyDescent="0.15">
      <c r="A556" s="79"/>
      <c r="B556" s="77" t="str">
        <f t="shared" ca="1" si="16"/>
        <v/>
      </c>
      <c r="C556" s="11" t="str">
        <f t="shared" ca="1" si="17"/>
        <v/>
      </c>
    </row>
    <row r="557" spans="1:3" x14ac:dyDescent="0.15">
      <c r="A557" s="79"/>
      <c r="B557" s="77" t="str">
        <f t="shared" ca="1" si="16"/>
        <v/>
      </c>
      <c r="C557" s="11" t="str">
        <f t="shared" ca="1" si="17"/>
        <v/>
      </c>
    </row>
    <row r="558" spans="1:3" x14ac:dyDescent="0.15">
      <c r="A558" s="79"/>
      <c r="B558" s="77" t="str">
        <f t="shared" ca="1" si="16"/>
        <v/>
      </c>
      <c r="C558" s="11" t="str">
        <f t="shared" ca="1" si="17"/>
        <v/>
      </c>
    </row>
    <row r="559" spans="1:3" x14ac:dyDescent="0.15">
      <c r="A559" s="79"/>
      <c r="B559" s="77" t="str">
        <f t="shared" ca="1" si="16"/>
        <v/>
      </c>
      <c r="C559" s="11" t="str">
        <f t="shared" ca="1" si="17"/>
        <v/>
      </c>
    </row>
    <row r="560" spans="1:3" x14ac:dyDescent="0.15">
      <c r="A560" s="79"/>
      <c r="B560" s="77" t="str">
        <f t="shared" ca="1" si="16"/>
        <v/>
      </c>
      <c r="C560" s="11" t="str">
        <f t="shared" ca="1" si="17"/>
        <v/>
      </c>
    </row>
    <row r="561" spans="1:3" x14ac:dyDescent="0.15">
      <c r="A561" s="79"/>
      <c r="B561" s="77" t="str">
        <f t="shared" ca="1" si="16"/>
        <v/>
      </c>
      <c r="C561" s="11" t="str">
        <f t="shared" ca="1" si="17"/>
        <v/>
      </c>
    </row>
    <row r="562" spans="1:3" x14ac:dyDescent="0.15">
      <c r="A562" s="79"/>
      <c r="B562" s="77" t="str">
        <f t="shared" ca="1" si="16"/>
        <v/>
      </c>
      <c r="C562" s="11" t="str">
        <f t="shared" ca="1" si="17"/>
        <v/>
      </c>
    </row>
    <row r="563" spans="1:3" x14ac:dyDescent="0.15">
      <c r="A563" s="79"/>
      <c r="B563" s="77" t="str">
        <f t="shared" ca="1" si="16"/>
        <v/>
      </c>
      <c r="C563" s="11" t="str">
        <f t="shared" ca="1" si="17"/>
        <v/>
      </c>
    </row>
    <row r="564" spans="1:3" x14ac:dyDescent="0.15">
      <c r="A564" s="79"/>
      <c r="B564" s="77" t="str">
        <f t="shared" ca="1" si="16"/>
        <v/>
      </c>
      <c r="C564" s="11" t="str">
        <f t="shared" ca="1" si="17"/>
        <v/>
      </c>
    </row>
    <row r="565" spans="1:3" x14ac:dyDescent="0.15">
      <c r="A565" s="79"/>
      <c r="B565" s="77" t="str">
        <f t="shared" ca="1" si="16"/>
        <v/>
      </c>
      <c r="C565" s="11" t="str">
        <f t="shared" ca="1" si="17"/>
        <v/>
      </c>
    </row>
    <row r="566" spans="1:3" x14ac:dyDescent="0.15">
      <c r="A566" s="79"/>
      <c r="B566" s="77" t="str">
        <f t="shared" ca="1" si="16"/>
        <v/>
      </c>
      <c r="C566" s="11" t="str">
        <f t="shared" ca="1" si="17"/>
        <v/>
      </c>
    </row>
    <row r="567" spans="1:3" x14ac:dyDescent="0.15">
      <c r="A567" s="79"/>
      <c r="B567" s="77" t="str">
        <f t="shared" ca="1" si="16"/>
        <v/>
      </c>
      <c r="C567" s="11" t="str">
        <f t="shared" ca="1" si="17"/>
        <v/>
      </c>
    </row>
    <row r="568" spans="1:3" x14ac:dyDescent="0.15">
      <c r="A568" s="79"/>
      <c r="B568" s="77" t="str">
        <f t="shared" ca="1" si="16"/>
        <v/>
      </c>
      <c r="C568" s="11" t="str">
        <f t="shared" ca="1" si="17"/>
        <v/>
      </c>
    </row>
    <row r="569" spans="1:3" x14ac:dyDescent="0.15">
      <c r="A569" s="79"/>
      <c r="B569" s="77" t="str">
        <f t="shared" ca="1" si="16"/>
        <v/>
      </c>
      <c r="C569" s="11" t="str">
        <f t="shared" ca="1" si="17"/>
        <v/>
      </c>
    </row>
    <row r="570" spans="1:3" x14ac:dyDescent="0.15">
      <c r="A570" s="79"/>
      <c r="B570" s="77" t="str">
        <f t="shared" ca="1" si="16"/>
        <v/>
      </c>
      <c r="C570" s="11" t="str">
        <f t="shared" ca="1" si="17"/>
        <v/>
      </c>
    </row>
    <row r="571" spans="1:3" x14ac:dyDescent="0.15">
      <c r="A571" s="79"/>
      <c r="B571" s="77" t="str">
        <f t="shared" ca="1" si="16"/>
        <v/>
      </c>
      <c r="C571" s="11" t="str">
        <f t="shared" ca="1" si="17"/>
        <v/>
      </c>
    </row>
    <row r="572" spans="1:3" x14ac:dyDescent="0.15">
      <c r="A572" s="79"/>
      <c r="B572" s="77" t="str">
        <f t="shared" ca="1" si="16"/>
        <v/>
      </c>
      <c r="C572" s="11" t="str">
        <f t="shared" ca="1" si="17"/>
        <v/>
      </c>
    </row>
    <row r="573" spans="1:3" x14ac:dyDescent="0.15">
      <c r="A573" s="79"/>
      <c r="B573" s="77" t="str">
        <f t="shared" ca="1" si="16"/>
        <v/>
      </c>
      <c r="C573" s="11" t="str">
        <f t="shared" ca="1" si="17"/>
        <v/>
      </c>
    </row>
    <row r="574" spans="1:3" x14ac:dyDescent="0.15">
      <c r="A574" s="79"/>
      <c r="B574" s="77" t="str">
        <f t="shared" ca="1" si="16"/>
        <v/>
      </c>
      <c r="C574" s="11" t="str">
        <f t="shared" ca="1" si="17"/>
        <v/>
      </c>
    </row>
    <row r="575" spans="1:3" x14ac:dyDescent="0.15">
      <c r="A575" s="79"/>
      <c r="B575" s="77" t="str">
        <f t="shared" ca="1" si="16"/>
        <v/>
      </c>
      <c r="C575" s="11" t="str">
        <f t="shared" ca="1" si="17"/>
        <v/>
      </c>
    </row>
    <row r="576" spans="1:3" x14ac:dyDescent="0.15">
      <c r="A576" s="79"/>
      <c r="B576" s="77" t="str">
        <f t="shared" ca="1" si="16"/>
        <v/>
      </c>
      <c r="C576" s="11" t="str">
        <f t="shared" ca="1" si="17"/>
        <v/>
      </c>
    </row>
    <row r="577" spans="1:3" x14ac:dyDescent="0.15">
      <c r="A577" s="79"/>
      <c r="B577" s="77" t="str">
        <f t="shared" ca="1" si="16"/>
        <v/>
      </c>
      <c r="C577" s="11" t="str">
        <f t="shared" ca="1" si="17"/>
        <v/>
      </c>
    </row>
    <row r="578" spans="1:3" x14ac:dyDescent="0.15">
      <c r="A578" s="79"/>
      <c r="B578" s="77" t="str">
        <f t="shared" ref="B578:B641" ca="1" si="18">IFERROR(VLOOKUP(TEXT(A578,"00000000"),analysis_table_by_barcode,15,FALSE),"")</f>
        <v/>
      </c>
      <c r="C578" s="11" t="str">
        <f t="shared" ref="C578:C641" ca="1" si="19">IF($B578&lt;&gt;"", IF(VLOOKUP(B578, final_to_ministry_result,2,FALSE)&lt;&gt;"",VLOOKUP(B578, final_to_ministry_result,2,FALSE),""),"")</f>
        <v/>
      </c>
    </row>
    <row r="579" spans="1:3" x14ac:dyDescent="0.15">
      <c r="A579" s="79"/>
      <c r="B579" s="77" t="str">
        <f t="shared" ca="1" si="18"/>
        <v/>
      </c>
      <c r="C579" s="11" t="str">
        <f t="shared" ca="1" si="19"/>
        <v/>
      </c>
    </row>
    <row r="580" spans="1:3" x14ac:dyDescent="0.15">
      <c r="A580" s="79"/>
      <c r="B580" s="77" t="str">
        <f t="shared" ca="1" si="18"/>
        <v/>
      </c>
      <c r="C580" s="11" t="str">
        <f t="shared" ca="1" si="19"/>
        <v/>
      </c>
    </row>
    <row r="581" spans="1:3" x14ac:dyDescent="0.15">
      <c r="A581" s="79"/>
      <c r="B581" s="77" t="str">
        <f t="shared" ca="1" si="18"/>
        <v/>
      </c>
      <c r="C581" s="11" t="str">
        <f t="shared" ca="1" si="19"/>
        <v/>
      </c>
    </row>
    <row r="582" spans="1:3" x14ac:dyDescent="0.15">
      <c r="A582" s="79"/>
      <c r="B582" s="77" t="str">
        <f t="shared" ca="1" si="18"/>
        <v/>
      </c>
      <c r="C582" s="11" t="str">
        <f t="shared" ca="1" si="19"/>
        <v/>
      </c>
    </row>
    <row r="583" spans="1:3" x14ac:dyDescent="0.15">
      <c r="A583" s="79"/>
      <c r="B583" s="77" t="str">
        <f t="shared" ca="1" si="18"/>
        <v/>
      </c>
      <c r="C583" s="11" t="str">
        <f t="shared" ca="1" si="19"/>
        <v/>
      </c>
    </row>
    <row r="584" spans="1:3" x14ac:dyDescent="0.15">
      <c r="A584" s="79"/>
      <c r="B584" s="77" t="str">
        <f t="shared" ca="1" si="18"/>
        <v/>
      </c>
      <c r="C584" s="11" t="str">
        <f t="shared" ca="1" si="19"/>
        <v/>
      </c>
    </row>
    <row r="585" spans="1:3" x14ac:dyDescent="0.15">
      <c r="A585" s="79"/>
      <c r="B585" s="77" t="str">
        <f t="shared" ca="1" si="18"/>
        <v/>
      </c>
      <c r="C585" s="11" t="str">
        <f t="shared" ca="1" si="19"/>
        <v/>
      </c>
    </row>
    <row r="586" spans="1:3" x14ac:dyDescent="0.15">
      <c r="A586" s="79"/>
      <c r="B586" s="77" t="str">
        <f t="shared" ca="1" si="18"/>
        <v/>
      </c>
      <c r="C586" s="11" t="str">
        <f t="shared" ca="1" si="19"/>
        <v/>
      </c>
    </row>
    <row r="587" spans="1:3" x14ac:dyDescent="0.15">
      <c r="A587" s="79"/>
      <c r="B587" s="77" t="str">
        <f t="shared" ca="1" si="18"/>
        <v/>
      </c>
      <c r="C587" s="11" t="str">
        <f t="shared" ca="1" si="19"/>
        <v/>
      </c>
    </row>
    <row r="588" spans="1:3" x14ac:dyDescent="0.15">
      <c r="A588" s="79"/>
      <c r="B588" s="77" t="str">
        <f t="shared" ca="1" si="18"/>
        <v/>
      </c>
      <c r="C588" s="11" t="str">
        <f t="shared" ca="1" si="19"/>
        <v/>
      </c>
    </row>
    <row r="589" spans="1:3" x14ac:dyDescent="0.15">
      <c r="A589" s="79"/>
      <c r="B589" s="77" t="str">
        <f t="shared" ca="1" si="18"/>
        <v/>
      </c>
      <c r="C589" s="11" t="str">
        <f t="shared" ca="1" si="19"/>
        <v/>
      </c>
    </row>
    <row r="590" spans="1:3" x14ac:dyDescent="0.15">
      <c r="A590" s="79"/>
      <c r="B590" s="77" t="str">
        <f t="shared" ca="1" si="18"/>
        <v/>
      </c>
      <c r="C590" s="11" t="str">
        <f t="shared" ca="1" si="19"/>
        <v/>
      </c>
    </row>
    <row r="591" spans="1:3" x14ac:dyDescent="0.15">
      <c r="A591" s="79"/>
      <c r="B591" s="77" t="str">
        <f t="shared" ca="1" si="18"/>
        <v/>
      </c>
      <c r="C591" s="11" t="str">
        <f t="shared" ca="1" si="19"/>
        <v/>
      </c>
    </row>
    <row r="592" spans="1:3" x14ac:dyDescent="0.15">
      <c r="A592" s="79"/>
      <c r="B592" s="77" t="str">
        <f t="shared" ca="1" si="18"/>
        <v/>
      </c>
      <c r="C592" s="11" t="str">
        <f t="shared" ca="1" si="19"/>
        <v/>
      </c>
    </row>
    <row r="593" spans="1:3" x14ac:dyDescent="0.15">
      <c r="A593" s="79"/>
      <c r="B593" s="77" t="str">
        <f t="shared" ca="1" si="18"/>
        <v/>
      </c>
      <c r="C593" s="11" t="str">
        <f t="shared" ca="1" si="19"/>
        <v/>
      </c>
    </row>
    <row r="594" spans="1:3" x14ac:dyDescent="0.15">
      <c r="A594" s="79"/>
      <c r="B594" s="77" t="str">
        <f t="shared" ca="1" si="18"/>
        <v/>
      </c>
      <c r="C594" s="11" t="str">
        <f t="shared" ca="1" si="19"/>
        <v/>
      </c>
    </row>
    <row r="595" spans="1:3" x14ac:dyDescent="0.15">
      <c r="A595" s="79"/>
      <c r="B595" s="77" t="str">
        <f t="shared" ca="1" si="18"/>
        <v/>
      </c>
      <c r="C595" s="11" t="str">
        <f t="shared" ca="1" si="19"/>
        <v/>
      </c>
    </row>
    <row r="596" spans="1:3" x14ac:dyDescent="0.15">
      <c r="A596" s="79"/>
      <c r="B596" s="77" t="str">
        <f t="shared" ca="1" si="18"/>
        <v/>
      </c>
      <c r="C596" s="11" t="str">
        <f t="shared" ca="1" si="19"/>
        <v/>
      </c>
    </row>
    <row r="597" spans="1:3" x14ac:dyDescent="0.15">
      <c r="A597" s="79"/>
      <c r="B597" s="77" t="str">
        <f t="shared" ca="1" si="18"/>
        <v/>
      </c>
      <c r="C597" s="11" t="str">
        <f t="shared" ca="1" si="19"/>
        <v/>
      </c>
    </row>
    <row r="598" spans="1:3" x14ac:dyDescent="0.15">
      <c r="A598" s="79"/>
      <c r="B598" s="77" t="str">
        <f t="shared" ca="1" si="18"/>
        <v/>
      </c>
      <c r="C598" s="11" t="str">
        <f t="shared" ca="1" si="19"/>
        <v/>
      </c>
    </row>
    <row r="599" spans="1:3" x14ac:dyDescent="0.15">
      <c r="A599" s="79"/>
      <c r="B599" s="77" t="str">
        <f t="shared" ca="1" si="18"/>
        <v/>
      </c>
      <c r="C599" s="11" t="str">
        <f t="shared" ca="1" si="19"/>
        <v/>
      </c>
    </row>
    <row r="600" spans="1:3" x14ac:dyDescent="0.15">
      <c r="A600" s="79"/>
      <c r="B600" s="77" t="str">
        <f t="shared" ca="1" si="18"/>
        <v/>
      </c>
      <c r="C600" s="11" t="str">
        <f t="shared" ca="1" si="19"/>
        <v/>
      </c>
    </row>
    <row r="601" spans="1:3" x14ac:dyDescent="0.15">
      <c r="A601" s="79"/>
      <c r="B601" s="77" t="str">
        <f t="shared" ca="1" si="18"/>
        <v/>
      </c>
      <c r="C601" s="11" t="str">
        <f t="shared" ca="1" si="19"/>
        <v/>
      </c>
    </row>
    <row r="602" spans="1:3" x14ac:dyDescent="0.15">
      <c r="A602" s="79"/>
      <c r="B602" s="77" t="str">
        <f t="shared" ca="1" si="18"/>
        <v/>
      </c>
      <c r="C602" s="11" t="str">
        <f t="shared" ca="1" si="19"/>
        <v/>
      </c>
    </row>
    <row r="603" spans="1:3" x14ac:dyDescent="0.15">
      <c r="A603" s="79"/>
      <c r="B603" s="77" t="str">
        <f t="shared" ca="1" si="18"/>
        <v/>
      </c>
      <c r="C603" s="11" t="str">
        <f t="shared" ca="1" si="19"/>
        <v/>
      </c>
    </row>
    <row r="604" spans="1:3" x14ac:dyDescent="0.15">
      <c r="A604" s="79"/>
      <c r="B604" s="77" t="str">
        <f t="shared" ca="1" si="18"/>
        <v/>
      </c>
      <c r="C604" s="11" t="str">
        <f t="shared" ca="1" si="19"/>
        <v/>
      </c>
    </row>
    <row r="605" spans="1:3" x14ac:dyDescent="0.15">
      <c r="A605" s="79"/>
      <c r="B605" s="77" t="str">
        <f t="shared" ca="1" si="18"/>
        <v/>
      </c>
      <c r="C605" s="11" t="str">
        <f t="shared" ca="1" si="19"/>
        <v/>
      </c>
    </row>
    <row r="606" spans="1:3" x14ac:dyDescent="0.15">
      <c r="A606" s="79"/>
      <c r="B606" s="77" t="str">
        <f t="shared" ca="1" si="18"/>
        <v/>
      </c>
      <c r="C606" s="11" t="str">
        <f t="shared" ca="1" si="19"/>
        <v/>
      </c>
    </row>
    <row r="607" spans="1:3" x14ac:dyDescent="0.15">
      <c r="A607" s="79"/>
      <c r="B607" s="77" t="str">
        <f t="shared" ca="1" si="18"/>
        <v/>
      </c>
      <c r="C607" s="11" t="str">
        <f t="shared" ca="1" si="19"/>
        <v/>
      </c>
    </row>
    <row r="608" spans="1:3" x14ac:dyDescent="0.15">
      <c r="A608" s="79"/>
      <c r="B608" s="77" t="str">
        <f t="shared" ca="1" si="18"/>
        <v/>
      </c>
      <c r="C608" s="11" t="str">
        <f t="shared" ca="1" si="19"/>
        <v/>
      </c>
    </row>
    <row r="609" spans="1:3" x14ac:dyDescent="0.15">
      <c r="A609" s="79"/>
      <c r="B609" s="77" t="str">
        <f t="shared" ca="1" si="18"/>
        <v/>
      </c>
      <c r="C609" s="11" t="str">
        <f t="shared" ca="1" si="19"/>
        <v/>
      </c>
    </row>
    <row r="610" spans="1:3" x14ac:dyDescent="0.15">
      <c r="A610" s="79"/>
      <c r="B610" s="77" t="str">
        <f t="shared" ca="1" si="18"/>
        <v/>
      </c>
      <c r="C610" s="11" t="str">
        <f t="shared" ca="1" si="19"/>
        <v/>
      </c>
    </row>
    <row r="611" spans="1:3" x14ac:dyDescent="0.15">
      <c r="A611" s="79"/>
      <c r="B611" s="77" t="str">
        <f t="shared" ca="1" si="18"/>
        <v/>
      </c>
      <c r="C611" s="11" t="str">
        <f t="shared" ca="1" si="19"/>
        <v/>
      </c>
    </row>
    <row r="612" spans="1:3" x14ac:dyDescent="0.15">
      <c r="A612" s="79"/>
      <c r="B612" s="77" t="str">
        <f t="shared" ca="1" si="18"/>
        <v/>
      </c>
      <c r="C612" s="11" t="str">
        <f t="shared" ca="1" si="19"/>
        <v/>
      </c>
    </row>
    <row r="613" spans="1:3" x14ac:dyDescent="0.15">
      <c r="A613" s="79"/>
      <c r="B613" s="77" t="str">
        <f t="shared" ca="1" si="18"/>
        <v/>
      </c>
      <c r="C613" s="11" t="str">
        <f t="shared" ca="1" si="19"/>
        <v/>
      </c>
    </row>
    <row r="614" spans="1:3" x14ac:dyDescent="0.15">
      <c r="A614" s="79"/>
      <c r="B614" s="77" t="str">
        <f t="shared" ca="1" si="18"/>
        <v/>
      </c>
      <c r="C614" s="11" t="str">
        <f t="shared" ca="1" si="19"/>
        <v/>
      </c>
    </row>
    <row r="615" spans="1:3" x14ac:dyDescent="0.15">
      <c r="A615" s="79"/>
      <c r="B615" s="77" t="str">
        <f t="shared" ca="1" si="18"/>
        <v/>
      </c>
      <c r="C615" s="11" t="str">
        <f t="shared" ca="1" si="19"/>
        <v/>
      </c>
    </row>
    <row r="616" spans="1:3" x14ac:dyDescent="0.15">
      <c r="A616" s="79"/>
      <c r="B616" s="77" t="str">
        <f t="shared" ca="1" si="18"/>
        <v/>
      </c>
      <c r="C616" s="11" t="str">
        <f t="shared" ca="1" si="19"/>
        <v/>
      </c>
    </row>
    <row r="617" spans="1:3" x14ac:dyDescent="0.15">
      <c r="A617" s="79"/>
      <c r="B617" s="77" t="str">
        <f t="shared" ca="1" si="18"/>
        <v/>
      </c>
      <c r="C617" s="11" t="str">
        <f t="shared" ca="1" si="19"/>
        <v/>
      </c>
    </row>
    <row r="618" spans="1:3" x14ac:dyDescent="0.15">
      <c r="A618" s="79"/>
      <c r="B618" s="77" t="str">
        <f t="shared" ca="1" si="18"/>
        <v/>
      </c>
      <c r="C618" s="11" t="str">
        <f t="shared" ca="1" si="19"/>
        <v/>
      </c>
    </row>
    <row r="619" spans="1:3" x14ac:dyDescent="0.15">
      <c r="A619" s="79"/>
      <c r="B619" s="77" t="str">
        <f t="shared" ca="1" si="18"/>
        <v/>
      </c>
      <c r="C619" s="11" t="str">
        <f t="shared" ca="1" si="19"/>
        <v/>
      </c>
    </row>
    <row r="620" spans="1:3" x14ac:dyDescent="0.15">
      <c r="A620" s="79"/>
      <c r="B620" s="77" t="str">
        <f t="shared" ca="1" si="18"/>
        <v/>
      </c>
      <c r="C620" s="11" t="str">
        <f t="shared" ca="1" si="19"/>
        <v/>
      </c>
    </row>
    <row r="621" spans="1:3" x14ac:dyDescent="0.15">
      <c r="A621" s="79"/>
      <c r="B621" s="77" t="str">
        <f t="shared" ca="1" si="18"/>
        <v/>
      </c>
      <c r="C621" s="11" t="str">
        <f t="shared" ca="1" si="19"/>
        <v/>
      </c>
    </row>
    <row r="622" spans="1:3" x14ac:dyDescent="0.15">
      <c r="A622" s="79"/>
      <c r="B622" s="77" t="str">
        <f t="shared" ca="1" si="18"/>
        <v/>
      </c>
      <c r="C622" s="11" t="str">
        <f t="shared" ca="1" si="19"/>
        <v/>
      </c>
    </row>
    <row r="623" spans="1:3" x14ac:dyDescent="0.15">
      <c r="A623" s="79"/>
      <c r="B623" s="77" t="str">
        <f t="shared" ca="1" si="18"/>
        <v/>
      </c>
      <c r="C623" s="11" t="str">
        <f t="shared" ca="1" si="19"/>
        <v/>
      </c>
    </row>
    <row r="624" spans="1:3" x14ac:dyDescent="0.15">
      <c r="A624" s="79"/>
      <c r="B624" s="77" t="str">
        <f t="shared" ca="1" si="18"/>
        <v/>
      </c>
      <c r="C624" s="11" t="str">
        <f t="shared" ca="1" si="19"/>
        <v/>
      </c>
    </row>
    <row r="625" spans="1:3" x14ac:dyDescent="0.15">
      <c r="A625" s="79"/>
      <c r="B625" s="77" t="str">
        <f t="shared" ca="1" si="18"/>
        <v/>
      </c>
      <c r="C625" s="11" t="str">
        <f t="shared" ca="1" si="19"/>
        <v/>
      </c>
    </row>
    <row r="626" spans="1:3" x14ac:dyDescent="0.15">
      <c r="A626" s="79"/>
      <c r="B626" s="77" t="str">
        <f t="shared" ca="1" si="18"/>
        <v/>
      </c>
      <c r="C626" s="11" t="str">
        <f t="shared" ca="1" si="19"/>
        <v/>
      </c>
    </row>
    <row r="627" spans="1:3" x14ac:dyDescent="0.15">
      <c r="A627" s="79"/>
      <c r="B627" s="77" t="str">
        <f t="shared" ca="1" si="18"/>
        <v/>
      </c>
      <c r="C627" s="11" t="str">
        <f t="shared" ca="1" si="19"/>
        <v/>
      </c>
    </row>
    <row r="628" spans="1:3" x14ac:dyDescent="0.15">
      <c r="A628" s="79"/>
      <c r="B628" s="77" t="str">
        <f t="shared" ca="1" si="18"/>
        <v/>
      </c>
      <c r="C628" s="11" t="str">
        <f t="shared" ca="1" si="19"/>
        <v/>
      </c>
    </row>
    <row r="629" spans="1:3" x14ac:dyDescent="0.15">
      <c r="A629" s="79"/>
      <c r="B629" s="77" t="str">
        <f t="shared" ca="1" si="18"/>
        <v/>
      </c>
      <c r="C629" s="11" t="str">
        <f t="shared" ca="1" si="19"/>
        <v/>
      </c>
    </row>
    <row r="630" spans="1:3" x14ac:dyDescent="0.15">
      <c r="A630" s="79"/>
      <c r="B630" s="77" t="str">
        <f t="shared" ca="1" si="18"/>
        <v/>
      </c>
      <c r="C630" s="11" t="str">
        <f t="shared" ca="1" si="19"/>
        <v/>
      </c>
    </row>
    <row r="631" spans="1:3" x14ac:dyDescent="0.15">
      <c r="A631" s="79"/>
      <c r="B631" s="77" t="str">
        <f t="shared" ca="1" si="18"/>
        <v/>
      </c>
      <c r="C631" s="11" t="str">
        <f t="shared" ca="1" si="19"/>
        <v/>
      </c>
    </row>
    <row r="632" spans="1:3" x14ac:dyDescent="0.15">
      <c r="A632" s="79"/>
      <c r="B632" s="77" t="str">
        <f t="shared" ca="1" si="18"/>
        <v/>
      </c>
      <c r="C632" s="11" t="str">
        <f t="shared" ca="1" si="19"/>
        <v/>
      </c>
    </row>
    <row r="633" spans="1:3" x14ac:dyDescent="0.15">
      <c r="A633" s="79"/>
      <c r="B633" s="77" t="str">
        <f t="shared" ca="1" si="18"/>
        <v/>
      </c>
      <c r="C633" s="11" t="str">
        <f t="shared" ca="1" si="19"/>
        <v/>
      </c>
    </row>
    <row r="634" spans="1:3" x14ac:dyDescent="0.15">
      <c r="A634" s="79"/>
      <c r="B634" s="77" t="str">
        <f t="shared" ca="1" si="18"/>
        <v/>
      </c>
      <c r="C634" s="11" t="str">
        <f t="shared" ca="1" si="19"/>
        <v/>
      </c>
    </row>
    <row r="635" spans="1:3" x14ac:dyDescent="0.15">
      <c r="A635" s="79"/>
      <c r="B635" s="77" t="str">
        <f t="shared" ca="1" si="18"/>
        <v/>
      </c>
      <c r="C635" s="11" t="str">
        <f t="shared" ca="1" si="19"/>
        <v/>
      </c>
    </row>
    <row r="636" spans="1:3" x14ac:dyDescent="0.15">
      <c r="A636" s="79"/>
      <c r="B636" s="77" t="str">
        <f t="shared" ca="1" si="18"/>
        <v/>
      </c>
      <c r="C636" s="11" t="str">
        <f t="shared" ca="1" si="19"/>
        <v/>
      </c>
    </row>
    <row r="637" spans="1:3" x14ac:dyDescent="0.15">
      <c r="A637" s="79"/>
      <c r="B637" s="77" t="str">
        <f t="shared" ca="1" si="18"/>
        <v/>
      </c>
      <c r="C637" s="11" t="str">
        <f t="shared" ca="1" si="19"/>
        <v/>
      </c>
    </row>
    <row r="638" spans="1:3" x14ac:dyDescent="0.15">
      <c r="A638" s="79"/>
      <c r="B638" s="77" t="str">
        <f t="shared" ca="1" si="18"/>
        <v/>
      </c>
      <c r="C638" s="11" t="str">
        <f t="shared" ca="1" si="19"/>
        <v/>
      </c>
    </row>
    <row r="639" spans="1:3" x14ac:dyDescent="0.15">
      <c r="A639" s="79"/>
      <c r="B639" s="77" t="str">
        <f t="shared" ca="1" si="18"/>
        <v/>
      </c>
      <c r="C639" s="11" t="str">
        <f t="shared" ca="1" si="19"/>
        <v/>
      </c>
    </row>
    <row r="640" spans="1:3" x14ac:dyDescent="0.15">
      <c r="A640" s="79"/>
      <c r="B640" s="77" t="str">
        <f t="shared" ca="1" si="18"/>
        <v/>
      </c>
      <c r="C640" s="11" t="str">
        <f t="shared" ca="1" si="19"/>
        <v/>
      </c>
    </row>
    <row r="641" spans="1:3" x14ac:dyDescent="0.15">
      <c r="A641" s="79"/>
      <c r="B641" s="77" t="str">
        <f t="shared" ca="1" si="18"/>
        <v/>
      </c>
      <c r="C641" s="11" t="str">
        <f t="shared" ca="1" si="19"/>
        <v/>
      </c>
    </row>
    <row r="642" spans="1:3" x14ac:dyDescent="0.15">
      <c r="A642" s="79"/>
      <c r="B642" s="77" t="str">
        <f t="shared" ref="B642:B705" ca="1" si="20">IFERROR(VLOOKUP(TEXT(A642,"00000000"),analysis_table_by_barcode,15,FALSE),"")</f>
        <v/>
      </c>
      <c r="C642" s="11" t="str">
        <f t="shared" ref="C642:C705" ca="1" si="21">IF($B642&lt;&gt;"", IF(VLOOKUP(B642, final_to_ministry_result,2,FALSE)&lt;&gt;"",VLOOKUP(B642, final_to_ministry_result,2,FALSE),""),"")</f>
        <v/>
      </c>
    </row>
    <row r="643" spans="1:3" x14ac:dyDescent="0.15">
      <c r="A643" s="79"/>
      <c r="B643" s="77" t="str">
        <f t="shared" ca="1" si="20"/>
        <v/>
      </c>
      <c r="C643" s="11" t="str">
        <f t="shared" ca="1" si="21"/>
        <v/>
      </c>
    </row>
    <row r="644" spans="1:3" x14ac:dyDescent="0.15">
      <c r="A644" s="79"/>
      <c r="B644" s="77" t="str">
        <f t="shared" ca="1" si="20"/>
        <v/>
      </c>
      <c r="C644" s="11" t="str">
        <f t="shared" ca="1" si="21"/>
        <v/>
      </c>
    </row>
    <row r="645" spans="1:3" x14ac:dyDescent="0.15">
      <c r="A645" s="79"/>
      <c r="B645" s="77" t="str">
        <f t="shared" ca="1" si="20"/>
        <v/>
      </c>
      <c r="C645" s="11" t="str">
        <f t="shared" ca="1" si="21"/>
        <v/>
      </c>
    </row>
    <row r="646" spans="1:3" x14ac:dyDescent="0.15">
      <c r="A646" s="79"/>
      <c r="B646" s="77" t="str">
        <f t="shared" ca="1" si="20"/>
        <v/>
      </c>
      <c r="C646" s="11" t="str">
        <f t="shared" ca="1" si="21"/>
        <v/>
      </c>
    </row>
    <row r="647" spans="1:3" x14ac:dyDescent="0.15">
      <c r="A647" s="79"/>
      <c r="B647" s="77" t="str">
        <f t="shared" ca="1" si="20"/>
        <v/>
      </c>
      <c r="C647" s="11" t="str">
        <f t="shared" ca="1" si="21"/>
        <v/>
      </c>
    </row>
    <row r="648" spans="1:3" x14ac:dyDescent="0.15">
      <c r="A648" s="79"/>
      <c r="B648" s="77" t="str">
        <f t="shared" ca="1" si="20"/>
        <v/>
      </c>
      <c r="C648" s="11" t="str">
        <f t="shared" ca="1" si="21"/>
        <v/>
      </c>
    </row>
    <row r="649" spans="1:3" x14ac:dyDescent="0.15">
      <c r="A649" s="79"/>
      <c r="B649" s="77" t="str">
        <f t="shared" ca="1" si="20"/>
        <v/>
      </c>
      <c r="C649" s="11" t="str">
        <f t="shared" ca="1" si="21"/>
        <v/>
      </c>
    </row>
    <row r="650" spans="1:3" x14ac:dyDescent="0.15">
      <c r="A650" s="79"/>
      <c r="B650" s="77" t="str">
        <f t="shared" ca="1" si="20"/>
        <v/>
      </c>
      <c r="C650" s="11" t="str">
        <f t="shared" ca="1" si="21"/>
        <v/>
      </c>
    </row>
    <row r="651" spans="1:3" x14ac:dyDescent="0.15">
      <c r="A651" s="79"/>
      <c r="B651" s="77" t="str">
        <f t="shared" ca="1" si="20"/>
        <v/>
      </c>
      <c r="C651" s="11" t="str">
        <f t="shared" ca="1" si="21"/>
        <v/>
      </c>
    </row>
    <row r="652" spans="1:3" x14ac:dyDescent="0.15">
      <c r="A652" s="79"/>
      <c r="B652" s="77" t="str">
        <f t="shared" ca="1" si="20"/>
        <v/>
      </c>
      <c r="C652" s="11" t="str">
        <f t="shared" ca="1" si="21"/>
        <v/>
      </c>
    </row>
    <row r="653" spans="1:3" x14ac:dyDescent="0.15">
      <c r="A653" s="79"/>
      <c r="B653" s="77" t="str">
        <f t="shared" ca="1" si="20"/>
        <v/>
      </c>
      <c r="C653" s="11" t="str">
        <f t="shared" ca="1" si="21"/>
        <v/>
      </c>
    </row>
    <row r="654" spans="1:3" x14ac:dyDescent="0.15">
      <c r="A654" s="79"/>
      <c r="B654" s="77" t="str">
        <f t="shared" ca="1" si="20"/>
        <v/>
      </c>
      <c r="C654" s="11" t="str">
        <f t="shared" ca="1" si="21"/>
        <v/>
      </c>
    </row>
    <row r="655" spans="1:3" x14ac:dyDescent="0.15">
      <c r="A655" s="79"/>
      <c r="B655" s="77" t="str">
        <f t="shared" ca="1" si="20"/>
        <v/>
      </c>
      <c r="C655" s="11" t="str">
        <f t="shared" ca="1" si="21"/>
        <v/>
      </c>
    </row>
    <row r="656" spans="1:3" x14ac:dyDescent="0.15">
      <c r="A656" s="79"/>
      <c r="B656" s="77" t="str">
        <f t="shared" ca="1" si="20"/>
        <v/>
      </c>
      <c r="C656" s="11" t="str">
        <f t="shared" ca="1" si="21"/>
        <v/>
      </c>
    </row>
    <row r="657" spans="1:3" x14ac:dyDescent="0.15">
      <c r="A657" s="79"/>
      <c r="B657" s="77" t="str">
        <f t="shared" ca="1" si="20"/>
        <v/>
      </c>
      <c r="C657" s="11" t="str">
        <f t="shared" ca="1" si="21"/>
        <v/>
      </c>
    </row>
    <row r="658" spans="1:3" x14ac:dyDescent="0.15">
      <c r="A658" s="79"/>
      <c r="B658" s="77" t="str">
        <f t="shared" ca="1" si="20"/>
        <v/>
      </c>
      <c r="C658" s="11" t="str">
        <f t="shared" ca="1" si="21"/>
        <v/>
      </c>
    </row>
    <row r="659" spans="1:3" x14ac:dyDescent="0.15">
      <c r="A659" s="79"/>
      <c r="B659" s="77" t="str">
        <f t="shared" ca="1" si="20"/>
        <v/>
      </c>
      <c r="C659" s="11" t="str">
        <f t="shared" ca="1" si="21"/>
        <v/>
      </c>
    </row>
    <row r="660" spans="1:3" x14ac:dyDescent="0.15">
      <c r="A660" s="79"/>
      <c r="B660" s="77" t="str">
        <f t="shared" ca="1" si="20"/>
        <v/>
      </c>
      <c r="C660" s="11" t="str">
        <f t="shared" ca="1" si="21"/>
        <v/>
      </c>
    </row>
    <row r="661" spans="1:3" x14ac:dyDescent="0.15">
      <c r="A661" s="79"/>
      <c r="B661" s="77" t="str">
        <f t="shared" ca="1" si="20"/>
        <v/>
      </c>
      <c r="C661" s="11" t="str">
        <f t="shared" ca="1" si="21"/>
        <v/>
      </c>
    </row>
    <row r="662" spans="1:3" x14ac:dyDescent="0.15">
      <c r="A662" s="79"/>
      <c r="B662" s="77" t="str">
        <f t="shared" ca="1" si="20"/>
        <v/>
      </c>
      <c r="C662" s="11" t="str">
        <f t="shared" ca="1" si="21"/>
        <v/>
      </c>
    </row>
    <row r="663" spans="1:3" x14ac:dyDescent="0.15">
      <c r="A663" s="79"/>
      <c r="B663" s="77" t="str">
        <f t="shared" ca="1" si="20"/>
        <v/>
      </c>
      <c r="C663" s="11" t="str">
        <f t="shared" ca="1" si="21"/>
        <v/>
      </c>
    </row>
    <row r="664" spans="1:3" x14ac:dyDescent="0.15">
      <c r="A664" s="79"/>
      <c r="B664" s="77" t="str">
        <f t="shared" ca="1" si="20"/>
        <v/>
      </c>
      <c r="C664" s="11" t="str">
        <f t="shared" ca="1" si="21"/>
        <v/>
      </c>
    </row>
    <row r="665" spans="1:3" x14ac:dyDescent="0.15">
      <c r="A665" s="79"/>
      <c r="B665" s="77" t="str">
        <f t="shared" ca="1" si="20"/>
        <v/>
      </c>
      <c r="C665" s="11" t="str">
        <f t="shared" ca="1" si="21"/>
        <v/>
      </c>
    </row>
    <row r="666" spans="1:3" x14ac:dyDescent="0.15">
      <c r="A666" s="79"/>
      <c r="B666" s="77" t="str">
        <f t="shared" ca="1" si="20"/>
        <v/>
      </c>
      <c r="C666" s="11" t="str">
        <f t="shared" ca="1" si="21"/>
        <v/>
      </c>
    </row>
    <row r="667" spans="1:3" x14ac:dyDescent="0.15">
      <c r="A667" s="79"/>
      <c r="B667" s="77" t="str">
        <f t="shared" ca="1" si="20"/>
        <v/>
      </c>
      <c r="C667" s="11" t="str">
        <f t="shared" ca="1" si="21"/>
        <v/>
      </c>
    </row>
    <row r="668" spans="1:3" x14ac:dyDescent="0.15">
      <c r="A668" s="79"/>
      <c r="B668" s="77" t="str">
        <f t="shared" ca="1" si="20"/>
        <v/>
      </c>
      <c r="C668" s="11" t="str">
        <f t="shared" ca="1" si="21"/>
        <v/>
      </c>
    </row>
    <row r="669" spans="1:3" x14ac:dyDescent="0.15">
      <c r="A669" s="79"/>
      <c r="B669" s="77" t="str">
        <f t="shared" ca="1" si="20"/>
        <v/>
      </c>
      <c r="C669" s="11" t="str">
        <f t="shared" ca="1" si="21"/>
        <v/>
      </c>
    </row>
    <row r="670" spans="1:3" x14ac:dyDescent="0.15">
      <c r="A670" s="79"/>
      <c r="B670" s="77" t="str">
        <f t="shared" ca="1" si="20"/>
        <v/>
      </c>
      <c r="C670" s="11" t="str">
        <f t="shared" ca="1" si="21"/>
        <v/>
      </c>
    </row>
    <row r="671" spans="1:3" x14ac:dyDescent="0.15">
      <c r="A671" s="79"/>
      <c r="B671" s="77" t="str">
        <f t="shared" ca="1" si="20"/>
        <v/>
      </c>
      <c r="C671" s="11" t="str">
        <f t="shared" ca="1" si="21"/>
        <v/>
      </c>
    </row>
    <row r="672" spans="1:3" x14ac:dyDescent="0.15">
      <c r="A672" s="79"/>
      <c r="B672" s="77" t="str">
        <f t="shared" ca="1" si="20"/>
        <v/>
      </c>
      <c r="C672" s="11" t="str">
        <f t="shared" ca="1" si="21"/>
        <v/>
      </c>
    </row>
    <row r="673" spans="1:3" x14ac:dyDescent="0.15">
      <c r="A673" s="79"/>
      <c r="B673" s="77" t="str">
        <f t="shared" ca="1" si="20"/>
        <v/>
      </c>
      <c r="C673" s="11" t="str">
        <f t="shared" ca="1" si="21"/>
        <v/>
      </c>
    </row>
    <row r="674" spans="1:3" x14ac:dyDescent="0.15">
      <c r="A674" s="79"/>
      <c r="B674" s="77" t="str">
        <f t="shared" ca="1" si="20"/>
        <v/>
      </c>
      <c r="C674" s="11" t="str">
        <f t="shared" ca="1" si="21"/>
        <v/>
      </c>
    </row>
    <row r="675" spans="1:3" x14ac:dyDescent="0.15">
      <c r="A675" s="79"/>
      <c r="B675" s="77" t="str">
        <f t="shared" ca="1" si="20"/>
        <v/>
      </c>
      <c r="C675" s="11" t="str">
        <f t="shared" ca="1" si="21"/>
        <v/>
      </c>
    </row>
    <row r="676" spans="1:3" x14ac:dyDescent="0.15">
      <c r="A676" s="79"/>
      <c r="B676" s="77" t="str">
        <f t="shared" ca="1" si="20"/>
        <v/>
      </c>
      <c r="C676" s="11" t="str">
        <f t="shared" ca="1" si="21"/>
        <v/>
      </c>
    </row>
    <row r="677" spans="1:3" x14ac:dyDescent="0.15">
      <c r="A677" s="79"/>
      <c r="B677" s="77" t="str">
        <f t="shared" ca="1" si="20"/>
        <v/>
      </c>
      <c r="C677" s="11" t="str">
        <f t="shared" ca="1" si="21"/>
        <v/>
      </c>
    </row>
    <row r="678" spans="1:3" x14ac:dyDescent="0.15">
      <c r="A678" s="79"/>
      <c r="B678" s="77" t="str">
        <f t="shared" ca="1" si="20"/>
        <v/>
      </c>
      <c r="C678" s="11" t="str">
        <f t="shared" ca="1" si="21"/>
        <v/>
      </c>
    </row>
    <row r="679" spans="1:3" x14ac:dyDescent="0.15">
      <c r="A679" s="79"/>
      <c r="B679" s="77" t="str">
        <f t="shared" ca="1" si="20"/>
        <v/>
      </c>
      <c r="C679" s="11" t="str">
        <f t="shared" ca="1" si="21"/>
        <v/>
      </c>
    </row>
    <row r="680" spans="1:3" x14ac:dyDescent="0.15">
      <c r="A680" s="79"/>
      <c r="B680" s="77" t="str">
        <f t="shared" ca="1" si="20"/>
        <v/>
      </c>
      <c r="C680" s="11" t="str">
        <f t="shared" ca="1" si="21"/>
        <v/>
      </c>
    </row>
    <row r="681" spans="1:3" x14ac:dyDescent="0.15">
      <c r="A681" s="79"/>
      <c r="B681" s="77" t="str">
        <f t="shared" ca="1" si="20"/>
        <v/>
      </c>
      <c r="C681" s="11" t="str">
        <f t="shared" ca="1" si="21"/>
        <v/>
      </c>
    </row>
    <row r="682" spans="1:3" x14ac:dyDescent="0.15">
      <c r="A682" s="79"/>
      <c r="B682" s="77" t="str">
        <f t="shared" ca="1" si="20"/>
        <v/>
      </c>
      <c r="C682" s="11" t="str">
        <f t="shared" ca="1" si="21"/>
        <v/>
      </c>
    </row>
    <row r="683" spans="1:3" x14ac:dyDescent="0.15">
      <c r="A683" s="79"/>
      <c r="B683" s="77" t="str">
        <f t="shared" ca="1" si="20"/>
        <v/>
      </c>
      <c r="C683" s="11" t="str">
        <f t="shared" ca="1" si="21"/>
        <v/>
      </c>
    </row>
    <row r="684" spans="1:3" x14ac:dyDescent="0.15">
      <c r="A684" s="79"/>
      <c r="B684" s="77" t="str">
        <f t="shared" ca="1" si="20"/>
        <v/>
      </c>
      <c r="C684" s="11" t="str">
        <f t="shared" ca="1" si="21"/>
        <v/>
      </c>
    </row>
    <row r="685" spans="1:3" x14ac:dyDescent="0.15">
      <c r="A685" s="79"/>
      <c r="B685" s="77" t="str">
        <f t="shared" ca="1" si="20"/>
        <v/>
      </c>
      <c r="C685" s="11" t="str">
        <f t="shared" ca="1" si="21"/>
        <v/>
      </c>
    </row>
    <row r="686" spans="1:3" x14ac:dyDescent="0.15">
      <c r="A686" s="79"/>
      <c r="B686" s="77" t="str">
        <f t="shared" ca="1" si="20"/>
        <v/>
      </c>
      <c r="C686" s="11" t="str">
        <f t="shared" ca="1" si="21"/>
        <v/>
      </c>
    </row>
    <row r="687" spans="1:3" x14ac:dyDescent="0.15">
      <c r="A687" s="79"/>
      <c r="B687" s="77" t="str">
        <f t="shared" ca="1" si="20"/>
        <v/>
      </c>
      <c r="C687" s="11" t="str">
        <f t="shared" ca="1" si="21"/>
        <v/>
      </c>
    </row>
    <row r="688" spans="1:3" x14ac:dyDescent="0.15">
      <c r="A688" s="79"/>
      <c r="B688" s="77" t="str">
        <f t="shared" ca="1" si="20"/>
        <v/>
      </c>
      <c r="C688" s="11" t="str">
        <f t="shared" ca="1" si="21"/>
        <v/>
      </c>
    </row>
    <row r="689" spans="1:3" x14ac:dyDescent="0.15">
      <c r="A689" s="79"/>
      <c r="B689" s="77" t="str">
        <f t="shared" ca="1" si="20"/>
        <v/>
      </c>
      <c r="C689" s="11" t="str">
        <f t="shared" ca="1" si="21"/>
        <v/>
      </c>
    </row>
    <row r="690" spans="1:3" x14ac:dyDescent="0.15">
      <c r="A690" s="79"/>
      <c r="B690" s="77" t="str">
        <f t="shared" ca="1" si="20"/>
        <v/>
      </c>
      <c r="C690" s="11" t="str">
        <f t="shared" ca="1" si="21"/>
        <v/>
      </c>
    </row>
    <row r="691" spans="1:3" x14ac:dyDescent="0.15">
      <c r="A691" s="79"/>
      <c r="B691" s="77" t="str">
        <f t="shared" ca="1" si="20"/>
        <v/>
      </c>
      <c r="C691" s="11" t="str">
        <f t="shared" ca="1" si="21"/>
        <v/>
      </c>
    </row>
    <row r="692" spans="1:3" x14ac:dyDescent="0.15">
      <c r="A692" s="79"/>
      <c r="B692" s="77" t="str">
        <f t="shared" ca="1" si="20"/>
        <v/>
      </c>
      <c r="C692" s="11" t="str">
        <f t="shared" ca="1" si="21"/>
        <v/>
      </c>
    </row>
    <row r="693" spans="1:3" x14ac:dyDescent="0.15">
      <c r="A693" s="79"/>
      <c r="B693" s="77" t="str">
        <f t="shared" ca="1" si="20"/>
        <v/>
      </c>
      <c r="C693" s="11" t="str">
        <f t="shared" ca="1" si="21"/>
        <v/>
      </c>
    </row>
    <row r="694" spans="1:3" x14ac:dyDescent="0.15">
      <c r="A694" s="79"/>
      <c r="B694" s="77" t="str">
        <f t="shared" ca="1" si="20"/>
        <v/>
      </c>
      <c r="C694" s="11" t="str">
        <f t="shared" ca="1" si="21"/>
        <v/>
      </c>
    </row>
    <row r="695" spans="1:3" x14ac:dyDescent="0.15">
      <c r="A695" s="79"/>
      <c r="B695" s="77" t="str">
        <f t="shared" ca="1" si="20"/>
        <v/>
      </c>
      <c r="C695" s="11" t="str">
        <f t="shared" ca="1" si="21"/>
        <v/>
      </c>
    </row>
    <row r="696" spans="1:3" x14ac:dyDescent="0.15">
      <c r="A696" s="79"/>
      <c r="B696" s="77" t="str">
        <f t="shared" ca="1" si="20"/>
        <v/>
      </c>
      <c r="C696" s="11" t="str">
        <f t="shared" ca="1" si="21"/>
        <v/>
      </c>
    </row>
    <row r="697" spans="1:3" x14ac:dyDescent="0.15">
      <c r="A697" s="79"/>
      <c r="B697" s="77" t="str">
        <f t="shared" ca="1" si="20"/>
        <v/>
      </c>
      <c r="C697" s="11" t="str">
        <f t="shared" ca="1" si="21"/>
        <v/>
      </c>
    </row>
    <row r="698" spans="1:3" x14ac:dyDescent="0.15">
      <c r="A698" s="79"/>
      <c r="B698" s="77" t="str">
        <f t="shared" ca="1" si="20"/>
        <v/>
      </c>
      <c r="C698" s="11" t="str">
        <f t="shared" ca="1" si="21"/>
        <v/>
      </c>
    </row>
    <row r="699" spans="1:3" x14ac:dyDescent="0.15">
      <c r="A699" s="79"/>
      <c r="B699" s="77" t="str">
        <f t="shared" ca="1" si="20"/>
        <v/>
      </c>
      <c r="C699" s="11" t="str">
        <f t="shared" ca="1" si="21"/>
        <v/>
      </c>
    </row>
    <row r="700" spans="1:3" x14ac:dyDescent="0.15">
      <c r="A700" s="79"/>
      <c r="B700" s="77" t="str">
        <f t="shared" ca="1" si="20"/>
        <v/>
      </c>
      <c r="C700" s="11" t="str">
        <f t="shared" ca="1" si="21"/>
        <v/>
      </c>
    </row>
    <row r="701" spans="1:3" x14ac:dyDescent="0.15">
      <c r="A701" s="79"/>
      <c r="B701" s="77" t="str">
        <f t="shared" ca="1" si="20"/>
        <v/>
      </c>
      <c r="C701" s="11" t="str">
        <f t="shared" ca="1" si="21"/>
        <v/>
      </c>
    </row>
    <row r="702" spans="1:3" x14ac:dyDescent="0.15">
      <c r="A702" s="79"/>
      <c r="B702" s="77" t="str">
        <f t="shared" ca="1" si="20"/>
        <v/>
      </c>
      <c r="C702" s="11" t="str">
        <f t="shared" ca="1" si="21"/>
        <v/>
      </c>
    </row>
    <row r="703" spans="1:3" x14ac:dyDescent="0.15">
      <c r="A703" s="79"/>
      <c r="B703" s="77" t="str">
        <f t="shared" ca="1" si="20"/>
        <v/>
      </c>
      <c r="C703" s="11" t="str">
        <f t="shared" ca="1" si="21"/>
        <v/>
      </c>
    </row>
    <row r="704" spans="1:3" x14ac:dyDescent="0.15">
      <c r="A704" s="79"/>
      <c r="B704" s="77" t="str">
        <f t="shared" ca="1" si="20"/>
        <v/>
      </c>
      <c r="C704" s="11" t="str">
        <f t="shared" ca="1" si="21"/>
        <v/>
      </c>
    </row>
    <row r="705" spans="1:3" x14ac:dyDescent="0.15">
      <c r="A705" s="79"/>
      <c r="B705" s="77" t="str">
        <f t="shared" ca="1" si="20"/>
        <v/>
      </c>
      <c r="C705" s="11" t="str">
        <f t="shared" ca="1" si="21"/>
        <v/>
      </c>
    </row>
    <row r="706" spans="1:3" x14ac:dyDescent="0.15">
      <c r="A706" s="79"/>
      <c r="B706" s="77" t="str">
        <f t="shared" ref="B706:B769" ca="1" si="22">IFERROR(VLOOKUP(TEXT(A706,"00000000"),analysis_table_by_barcode,15,FALSE),"")</f>
        <v/>
      </c>
      <c r="C706" s="11" t="str">
        <f t="shared" ref="C706:C769" ca="1" si="23">IF($B706&lt;&gt;"", IF(VLOOKUP(B706, final_to_ministry_result,2,FALSE)&lt;&gt;"",VLOOKUP(B706, final_to_ministry_result,2,FALSE),""),"")</f>
        <v/>
      </c>
    </row>
    <row r="707" spans="1:3" x14ac:dyDescent="0.15">
      <c r="A707" s="79"/>
      <c r="B707" s="77" t="str">
        <f t="shared" ca="1" si="22"/>
        <v/>
      </c>
      <c r="C707" s="11" t="str">
        <f t="shared" ca="1" si="23"/>
        <v/>
      </c>
    </row>
    <row r="708" spans="1:3" x14ac:dyDescent="0.15">
      <c r="A708" s="79"/>
      <c r="B708" s="77" t="str">
        <f t="shared" ca="1" si="22"/>
        <v/>
      </c>
      <c r="C708" s="11" t="str">
        <f t="shared" ca="1" si="23"/>
        <v/>
      </c>
    </row>
    <row r="709" spans="1:3" x14ac:dyDescent="0.15">
      <c r="A709" s="79"/>
      <c r="B709" s="77" t="str">
        <f t="shared" ca="1" si="22"/>
        <v/>
      </c>
      <c r="C709" s="11" t="str">
        <f t="shared" ca="1" si="23"/>
        <v/>
      </c>
    </row>
    <row r="710" spans="1:3" x14ac:dyDescent="0.15">
      <c r="A710" s="79"/>
      <c r="B710" s="77" t="str">
        <f t="shared" ca="1" si="22"/>
        <v/>
      </c>
      <c r="C710" s="11" t="str">
        <f t="shared" ca="1" si="23"/>
        <v/>
      </c>
    </row>
    <row r="711" spans="1:3" x14ac:dyDescent="0.15">
      <c r="A711" s="79"/>
      <c r="B711" s="77" t="str">
        <f t="shared" ca="1" si="22"/>
        <v/>
      </c>
      <c r="C711" s="11" t="str">
        <f t="shared" ca="1" si="23"/>
        <v/>
      </c>
    </row>
    <row r="712" spans="1:3" x14ac:dyDescent="0.15">
      <c r="A712" s="79"/>
      <c r="B712" s="77" t="str">
        <f t="shared" ca="1" si="22"/>
        <v/>
      </c>
      <c r="C712" s="11" t="str">
        <f t="shared" ca="1" si="23"/>
        <v/>
      </c>
    </row>
    <row r="713" spans="1:3" x14ac:dyDescent="0.15">
      <c r="A713" s="79"/>
      <c r="B713" s="77" t="str">
        <f t="shared" ca="1" si="22"/>
        <v/>
      </c>
      <c r="C713" s="11" t="str">
        <f t="shared" ca="1" si="23"/>
        <v/>
      </c>
    </row>
    <row r="714" spans="1:3" x14ac:dyDescent="0.15">
      <c r="A714" s="79"/>
      <c r="B714" s="77" t="str">
        <f t="shared" ca="1" si="22"/>
        <v/>
      </c>
      <c r="C714" s="11" t="str">
        <f t="shared" ca="1" si="23"/>
        <v/>
      </c>
    </row>
    <row r="715" spans="1:3" x14ac:dyDescent="0.15">
      <c r="A715" s="79"/>
      <c r="B715" s="77" t="str">
        <f t="shared" ca="1" si="22"/>
        <v/>
      </c>
      <c r="C715" s="11" t="str">
        <f t="shared" ca="1" si="23"/>
        <v/>
      </c>
    </row>
    <row r="716" spans="1:3" x14ac:dyDescent="0.15">
      <c r="A716" s="79"/>
      <c r="B716" s="77" t="str">
        <f t="shared" ca="1" si="22"/>
        <v/>
      </c>
      <c r="C716" s="11" t="str">
        <f t="shared" ca="1" si="23"/>
        <v/>
      </c>
    </row>
    <row r="717" spans="1:3" x14ac:dyDescent="0.15">
      <c r="A717" s="79"/>
      <c r="B717" s="77" t="str">
        <f t="shared" ca="1" si="22"/>
        <v/>
      </c>
      <c r="C717" s="11" t="str">
        <f t="shared" ca="1" si="23"/>
        <v/>
      </c>
    </row>
    <row r="718" spans="1:3" x14ac:dyDescent="0.15">
      <c r="A718" s="79"/>
      <c r="B718" s="77" t="str">
        <f t="shared" ca="1" si="22"/>
        <v/>
      </c>
      <c r="C718" s="11" t="str">
        <f t="shared" ca="1" si="23"/>
        <v/>
      </c>
    </row>
    <row r="719" spans="1:3" x14ac:dyDescent="0.15">
      <c r="A719" s="79"/>
      <c r="B719" s="77" t="str">
        <f t="shared" ca="1" si="22"/>
        <v/>
      </c>
      <c r="C719" s="11" t="str">
        <f t="shared" ca="1" si="23"/>
        <v/>
      </c>
    </row>
    <row r="720" spans="1:3" x14ac:dyDescent="0.15">
      <c r="A720" s="79"/>
      <c r="B720" s="77" t="str">
        <f t="shared" ca="1" si="22"/>
        <v/>
      </c>
      <c r="C720" s="11" t="str">
        <f t="shared" ca="1" si="23"/>
        <v/>
      </c>
    </row>
    <row r="721" spans="1:3" x14ac:dyDescent="0.15">
      <c r="A721" s="79"/>
      <c r="B721" s="77" t="str">
        <f t="shared" ca="1" si="22"/>
        <v/>
      </c>
      <c r="C721" s="11" t="str">
        <f t="shared" ca="1" si="23"/>
        <v/>
      </c>
    </row>
    <row r="722" spans="1:3" x14ac:dyDescent="0.15">
      <c r="A722" s="79"/>
      <c r="B722" s="77" t="str">
        <f t="shared" ca="1" si="22"/>
        <v/>
      </c>
      <c r="C722" s="11" t="str">
        <f t="shared" ca="1" si="23"/>
        <v/>
      </c>
    </row>
    <row r="723" spans="1:3" x14ac:dyDescent="0.15">
      <c r="A723" s="79"/>
      <c r="B723" s="77" t="str">
        <f t="shared" ca="1" si="22"/>
        <v/>
      </c>
      <c r="C723" s="11" t="str">
        <f t="shared" ca="1" si="23"/>
        <v/>
      </c>
    </row>
    <row r="724" spans="1:3" x14ac:dyDescent="0.15">
      <c r="A724" s="79"/>
      <c r="B724" s="77" t="str">
        <f t="shared" ca="1" si="22"/>
        <v/>
      </c>
      <c r="C724" s="11" t="str">
        <f t="shared" ca="1" si="23"/>
        <v/>
      </c>
    </row>
    <row r="725" spans="1:3" x14ac:dyDescent="0.15">
      <c r="A725" s="79"/>
      <c r="B725" s="77" t="str">
        <f t="shared" ca="1" si="22"/>
        <v/>
      </c>
      <c r="C725" s="11" t="str">
        <f t="shared" ca="1" si="23"/>
        <v/>
      </c>
    </row>
    <row r="726" spans="1:3" x14ac:dyDescent="0.15">
      <c r="A726" s="79"/>
      <c r="B726" s="77" t="str">
        <f t="shared" ca="1" si="22"/>
        <v/>
      </c>
      <c r="C726" s="11" t="str">
        <f t="shared" ca="1" si="23"/>
        <v/>
      </c>
    </row>
    <row r="727" spans="1:3" x14ac:dyDescent="0.15">
      <c r="A727" s="79"/>
      <c r="B727" s="77" t="str">
        <f t="shared" ca="1" si="22"/>
        <v/>
      </c>
      <c r="C727" s="11" t="str">
        <f t="shared" ca="1" si="23"/>
        <v/>
      </c>
    </row>
    <row r="728" spans="1:3" x14ac:dyDescent="0.15">
      <c r="A728" s="79"/>
      <c r="B728" s="77" t="str">
        <f t="shared" ca="1" si="22"/>
        <v/>
      </c>
      <c r="C728" s="11" t="str">
        <f t="shared" ca="1" si="23"/>
        <v/>
      </c>
    </row>
    <row r="729" spans="1:3" x14ac:dyDescent="0.15">
      <c r="A729" s="79"/>
      <c r="B729" s="77" t="str">
        <f t="shared" ca="1" si="22"/>
        <v/>
      </c>
      <c r="C729" s="11" t="str">
        <f t="shared" ca="1" si="23"/>
        <v/>
      </c>
    </row>
    <row r="730" spans="1:3" x14ac:dyDescent="0.15">
      <c r="A730" s="79"/>
      <c r="B730" s="77" t="str">
        <f t="shared" ca="1" si="22"/>
        <v/>
      </c>
      <c r="C730" s="11" t="str">
        <f t="shared" ca="1" si="23"/>
        <v/>
      </c>
    </row>
    <row r="731" spans="1:3" x14ac:dyDescent="0.15">
      <c r="A731" s="79"/>
      <c r="B731" s="77" t="str">
        <f t="shared" ca="1" si="22"/>
        <v/>
      </c>
      <c r="C731" s="11" t="str">
        <f t="shared" ca="1" si="23"/>
        <v/>
      </c>
    </row>
    <row r="732" spans="1:3" x14ac:dyDescent="0.15">
      <c r="A732" s="79"/>
      <c r="B732" s="77" t="str">
        <f t="shared" ca="1" si="22"/>
        <v/>
      </c>
      <c r="C732" s="11" t="str">
        <f t="shared" ca="1" si="23"/>
        <v/>
      </c>
    </row>
    <row r="733" spans="1:3" x14ac:dyDescent="0.15">
      <c r="A733" s="79"/>
      <c r="B733" s="77" t="str">
        <f t="shared" ca="1" si="22"/>
        <v/>
      </c>
      <c r="C733" s="11" t="str">
        <f t="shared" ca="1" si="23"/>
        <v/>
      </c>
    </row>
    <row r="734" spans="1:3" x14ac:dyDescent="0.15">
      <c r="A734" s="79"/>
      <c r="B734" s="77" t="str">
        <f t="shared" ca="1" si="22"/>
        <v/>
      </c>
      <c r="C734" s="11" t="str">
        <f t="shared" ca="1" si="23"/>
        <v/>
      </c>
    </row>
    <row r="735" spans="1:3" x14ac:dyDescent="0.15">
      <c r="A735" s="79"/>
      <c r="B735" s="77" t="str">
        <f t="shared" ca="1" si="22"/>
        <v/>
      </c>
      <c r="C735" s="11" t="str">
        <f t="shared" ca="1" si="23"/>
        <v/>
      </c>
    </row>
    <row r="736" spans="1:3" x14ac:dyDescent="0.15">
      <c r="A736" s="79"/>
      <c r="B736" s="77" t="str">
        <f t="shared" ca="1" si="22"/>
        <v/>
      </c>
      <c r="C736" s="11" t="str">
        <f t="shared" ca="1" si="23"/>
        <v/>
      </c>
    </row>
    <row r="737" spans="1:3" x14ac:dyDescent="0.15">
      <c r="A737" s="79"/>
      <c r="B737" s="77" t="str">
        <f t="shared" ca="1" si="22"/>
        <v/>
      </c>
      <c r="C737" s="11" t="str">
        <f t="shared" ca="1" si="23"/>
        <v/>
      </c>
    </row>
    <row r="738" spans="1:3" x14ac:dyDescent="0.15">
      <c r="A738" s="79"/>
      <c r="B738" s="77" t="str">
        <f t="shared" ca="1" si="22"/>
        <v/>
      </c>
      <c r="C738" s="11" t="str">
        <f t="shared" ca="1" si="23"/>
        <v/>
      </c>
    </row>
    <row r="739" spans="1:3" x14ac:dyDescent="0.15">
      <c r="A739" s="79"/>
      <c r="B739" s="77" t="str">
        <f t="shared" ca="1" si="22"/>
        <v/>
      </c>
      <c r="C739" s="11" t="str">
        <f t="shared" ca="1" si="23"/>
        <v/>
      </c>
    </row>
    <row r="740" spans="1:3" x14ac:dyDescent="0.15">
      <c r="A740" s="79"/>
      <c r="B740" s="77" t="str">
        <f t="shared" ca="1" si="22"/>
        <v/>
      </c>
      <c r="C740" s="11" t="str">
        <f t="shared" ca="1" si="23"/>
        <v/>
      </c>
    </row>
    <row r="741" spans="1:3" x14ac:dyDescent="0.15">
      <c r="A741" s="79"/>
      <c r="B741" s="77" t="str">
        <f t="shared" ca="1" si="22"/>
        <v/>
      </c>
      <c r="C741" s="11" t="str">
        <f t="shared" ca="1" si="23"/>
        <v/>
      </c>
    </row>
    <row r="742" spans="1:3" x14ac:dyDescent="0.15">
      <c r="A742" s="79"/>
      <c r="B742" s="77" t="str">
        <f t="shared" ca="1" si="22"/>
        <v/>
      </c>
      <c r="C742" s="11" t="str">
        <f t="shared" ca="1" si="23"/>
        <v/>
      </c>
    </row>
    <row r="743" spans="1:3" x14ac:dyDescent="0.15">
      <c r="A743" s="79"/>
      <c r="B743" s="77" t="str">
        <f t="shared" ca="1" si="22"/>
        <v/>
      </c>
      <c r="C743" s="11" t="str">
        <f t="shared" ca="1" si="23"/>
        <v/>
      </c>
    </row>
    <row r="744" spans="1:3" x14ac:dyDescent="0.15">
      <c r="A744" s="79"/>
      <c r="B744" s="77" t="str">
        <f t="shared" ca="1" si="22"/>
        <v/>
      </c>
      <c r="C744" s="11" t="str">
        <f t="shared" ca="1" si="23"/>
        <v/>
      </c>
    </row>
    <row r="745" spans="1:3" x14ac:dyDescent="0.15">
      <c r="A745" s="79"/>
      <c r="B745" s="77" t="str">
        <f t="shared" ca="1" si="22"/>
        <v/>
      </c>
      <c r="C745" s="11" t="str">
        <f t="shared" ca="1" si="23"/>
        <v/>
      </c>
    </row>
    <row r="746" spans="1:3" x14ac:dyDescent="0.15">
      <c r="A746" s="79"/>
      <c r="B746" s="77" t="str">
        <f t="shared" ca="1" si="22"/>
        <v/>
      </c>
      <c r="C746" s="11" t="str">
        <f t="shared" ca="1" si="23"/>
        <v/>
      </c>
    </row>
    <row r="747" spans="1:3" x14ac:dyDescent="0.15">
      <c r="A747" s="79"/>
      <c r="B747" s="77" t="str">
        <f t="shared" ca="1" si="22"/>
        <v/>
      </c>
      <c r="C747" s="11" t="str">
        <f t="shared" ca="1" si="23"/>
        <v/>
      </c>
    </row>
    <row r="748" spans="1:3" x14ac:dyDescent="0.15">
      <c r="A748" s="79"/>
      <c r="B748" s="77" t="str">
        <f t="shared" ca="1" si="22"/>
        <v/>
      </c>
      <c r="C748" s="11" t="str">
        <f t="shared" ca="1" si="23"/>
        <v/>
      </c>
    </row>
    <row r="749" spans="1:3" x14ac:dyDescent="0.15">
      <c r="A749" s="79"/>
      <c r="B749" s="77" t="str">
        <f t="shared" ca="1" si="22"/>
        <v/>
      </c>
      <c r="C749" s="11" t="str">
        <f t="shared" ca="1" si="23"/>
        <v/>
      </c>
    </row>
    <row r="750" spans="1:3" x14ac:dyDescent="0.15">
      <c r="A750" s="79"/>
      <c r="B750" s="77" t="str">
        <f t="shared" ca="1" si="22"/>
        <v/>
      </c>
      <c r="C750" s="11" t="str">
        <f t="shared" ca="1" si="23"/>
        <v/>
      </c>
    </row>
    <row r="751" spans="1:3" x14ac:dyDescent="0.15">
      <c r="A751" s="79"/>
      <c r="B751" s="77" t="str">
        <f t="shared" ca="1" si="22"/>
        <v/>
      </c>
      <c r="C751" s="11" t="str">
        <f t="shared" ca="1" si="23"/>
        <v/>
      </c>
    </row>
    <row r="752" spans="1:3" x14ac:dyDescent="0.15">
      <c r="A752" s="79"/>
      <c r="B752" s="77" t="str">
        <f t="shared" ca="1" si="22"/>
        <v/>
      </c>
      <c r="C752" s="11" t="str">
        <f t="shared" ca="1" si="23"/>
        <v/>
      </c>
    </row>
    <row r="753" spans="1:3" x14ac:dyDescent="0.15">
      <c r="A753" s="79"/>
      <c r="B753" s="77" t="str">
        <f t="shared" ca="1" si="22"/>
        <v/>
      </c>
      <c r="C753" s="11" t="str">
        <f t="shared" ca="1" si="23"/>
        <v/>
      </c>
    </row>
    <row r="754" spans="1:3" x14ac:dyDescent="0.15">
      <c r="A754" s="79"/>
      <c r="B754" s="77" t="str">
        <f t="shared" ca="1" si="22"/>
        <v/>
      </c>
      <c r="C754" s="11" t="str">
        <f t="shared" ca="1" si="23"/>
        <v/>
      </c>
    </row>
    <row r="755" spans="1:3" x14ac:dyDescent="0.15">
      <c r="A755" s="79"/>
      <c r="B755" s="77" t="str">
        <f t="shared" ca="1" si="22"/>
        <v/>
      </c>
      <c r="C755" s="11" t="str">
        <f t="shared" ca="1" si="23"/>
        <v/>
      </c>
    </row>
    <row r="756" spans="1:3" x14ac:dyDescent="0.15">
      <c r="A756" s="79"/>
      <c r="B756" s="77" t="str">
        <f t="shared" ca="1" si="22"/>
        <v/>
      </c>
      <c r="C756" s="11" t="str">
        <f t="shared" ca="1" si="23"/>
        <v/>
      </c>
    </row>
    <row r="757" spans="1:3" x14ac:dyDescent="0.15">
      <c r="A757" s="79"/>
      <c r="B757" s="77" t="str">
        <f t="shared" ca="1" si="22"/>
        <v/>
      </c>
      <c r="C757" s="11" t="str">
        <f t="shared" ca="1" si="23"/>
        <v/>
      </c>
    </row>
    <row r="758" spans="1:3" x14ac:dyDescent="0.15">
      <c r="A758" s="79"/>
      <c r="B758" s="77" t="str">
        <f t="shared" ca="1" si="22"/>
        <v/>
      </c>
      <c r="C758" s="11" t="str">
        <f t="shared" ca="1" si="23"/>
        <v/>
      </c>
    </row>
    <row r="759" spans="1:3" x14ac:dyDescent="0.15">
      <c r="A759" s="79"/>
      <c r="B759" s="77" t="str">
        <f t="shared" ca="1" si="22"/>
        <v/>
      </c>
      <c r="C759" s="11" t="str">
        <f t="shared" ca="1" si="23"/>
        <v/>
      </c>
    </row>
    <row r="760" spans="1:3" x14ac:dyDescent="0.15">
      <c r="A760" s="79"/>
      <c r="B760" s="77" t="str">
        <f t="shared" ca="1" si="22"/>
        <v/>
      </c>
      <c r="C760" s="11" t="str">
        <f t="shared" ca="1" si="23"/>
        <v/>
      </c>
    </row>
    <row r="761" spans="1:3" x14ac:dyDescent="0.15">
      <c r="A761" s="79"/>
      <c r="B761" s="77" t="str">
        <f t="shared" ca="1" si="22"/>
        <v/>
      </c>
      <c r="C761" s="11" t="str">
        <f t="shared" ca="1" si="23"/>
        <v/>
      </c>
    </row>
    <row r="762" spans="1:3" x14ac:dyDescent="0.15">
      <c r="A762" s="79"/>
      <c r="B762" s="77" t="str">
        <f t="shared" ca="1" si="22"/>
        <v/>
      </c>
      <c r="C762" s="11" t="str">
        <f t="shared" ca="1" si="23"/>
        <v/>
      </c>
    </row>
    <row r="763" spans="1:3" x14ac:dyDescent="0.15">
      <c r="A763" s="79"/>
      <c r="B763" s="77" t="str">
        <f t="shared" ca="1" si="22"/>
        <v/>
      </c>
      <c r="C763" s="11" t="str">
        <f t="shared" ca="1" si="23"/>
        <v/>
      </c>
    </row>
    <row r="764" spans="1:3" x14ac:dyDescent="0.15">
      <c r="A764" s="79"/>
      <c r="B764" s="77" t="str">
        <f t="shared" ca="1" si="22"/>
        <v/>
      </c>
      <c r="C764" s="11" t="str">
        <f t="shared" ca="1" si="23"/>
        <v/>
      </c>
    </row>
    <row r="765" spans="1:3" x14ac:dyDescent="0.15">
      <c r="A765" s="79"/>
      <c r="B765" s="77" t="str">
        <f t="shared" ca="1" si="22"/>
        <v/>
      </c>
      <c r="C765" s="11" t="str">
        <f t="shared" ca="1" si="23"/>
        <v/>
      </c>
    </row>
    <row r="766" spans="1:3" x14ac:dyDescent="0.15">
      <c r="A766" s="79"/>
      <c r="B766" s="77" t="str">
        <f t="shared" ca="1" si="22"/>
        <v/>
      </c>
      <c r="C766" s="11" t="str">
        <f t="shared" ca="1" si="23"/>
        <v/>
      </c>
    </row>
    <row r="767" spans="1:3" x14ac:dyDescent="0.15">
      <c r="A767" s="79"/>
      <c r="B767" s="77" t="str">
        <f t="shared" ca="1" si="22"/>
        <v/>
      </c>
      <c r="C767" s="11" t="str">
        <f t="shared" ca="1" si="23"/>
        <v/>
      </c>
    </row>
    <row r="768" spans="1:3" x14ac:dyDescent="0.15">
      <c r="A768" s="79"/>
      <c r="B768" s="77" t="str">
        <f t="shared" ca="1" si="22"/>
        <v/>
      </c>
      <c r="C768" s="11" t="str">
        <f t="shared" ca="1" si="23"/>
        <v/>
      </c>
    </row>
    <row r="769" spans="1:3" x14ac:dyDescent="0.15">
      <c r="A769" s="79"/>
      <c r="B769" s="77" t="str">
        <f t="shared" ca="1" si="22"/>
        <v/>
      </c>
      <c r="C769" s="11" t="str">
        <f t="shared" ca="1" si="23"/>
        <v/>
      </c>
    </row>
    <row r="770" spans="1:3" x14ac:dyDescent="0.15">
      <c r="A770" s="79"/>
      <c r="B770" s="77" t="str">
        <f t="shared" ref="B770:B833" ca="1" si="24">IFERROR(VLOOKUP(TEXT(A770,"00000000"),analysis_table_by_barcode,15,FALSE),"")</f>
        <v/>
      </c>
      <c r="C770" s="11" t="str">
        <f t="shared" ref="C770:C833" ca="1" si="25">IF($B770&lt;&gt;"", IF(VLOOKUP(B770, final_to_ministry_result,2,FALSE)&lt;&gt;"",VLOOKUP(B770, final_to_ministry_result,2,FALSE),""),"")</f>
        <v/>
      </c>
    </row>
    <row r="771" spans="1:3" x14ac:dyDescent="0.15">
      <c r="A771" s="79"/>
      <c r="B771" s="77" t="str">
        <f t="shared" ca="1" si="24"/>
        <v/>
      </c>
      <c r="C771" s="11" t="str">
        <f t="shared" ca="1" si="25"/>
        <v/>
      </c>
    </row>
    <row r="772" spans="1:3" x14ac:dyDescent="0.15">
      <c r="A772" s="79"/>
      <c r="B772" s="77" t="str">
        <f t="shared" ca="1" si="24"/>
        <v/>
      </c>
      <c r="C772" s="11" t="str">
        <f t="shared" ca="1" si="25"/>
        <v/>
      </c>
    </row>
    <row r="773" spans="1:3" x14ac:dyDescent="0.15">
      <c r="A773" s="79"/>
      <c r="B773" s="77" t="str">
        <f t="shared" ca="1" si="24"/>
        <v/>
      </c>
      <c r="C773" s="11" t="str">
        <f t="shared" ca="1" si="25"/>
        <v/>
      </c>
    </row>
    <row r="774" spans="1:3" x14ac:dyDescent="0.15">
      <c r="A774" s="79"/>
      <c r="B774" s="77" t="str">
        <f t="shared" ca="1" si="24"/>
        <v/>
      </c>
      <c r="C774" s="11" t="str">
        <f t="shared" ca="1" si="25"/>
        <v/>
      </c>
    </row>
    <row r="775" spans="1:3" x14ac:dyDescent="0.15">
      <c r="A775" s="79"/>
      <c r="B775" s="77" t="str">
        <f t="shared" ca="1" si="24"/>
        <v/>
      </c>
      <c r="C775" s="11" t="str">
        <f t="shared" ca="1" si="25"/>
        <v/>
      </c>
    </row>
    <row r="776" spans="1:3" x14ac:dyDescent="0.15">
      <c r="A776" s="79"/>
      <c r="B776" s="77" t="str">
        <f t="shared" ca="1" si="24"/>
        <v/>
      </c>
      <c r="C776" s="11" t="str">
        <f t="shared" ca="1" si="25"/>
        <v/>
      </c>
    </row>
    <row r="777" spans="1:3" x14ac:dyDescent="0.15">
      <c r="A777" s="79"/>
      <c r="B777" s="77" t="str">
        <f t="shared" ca="1" si="24"/>
        <v/>
      </c>
      <c r="C777" s="11" t="str">
        <f t="shared" ca="1" si="25"/>
        <v/>
      </c>
    </row>
    <row r="778" spans="1:3" x14ac:dyDescent="0.15">
      <c r="A778" s="79"/>
      <c r="B778" s="77" t="str">
        <f t="shared" ca="1" si="24"/>
        <v/>
      </c>
      <c r="C778" s="11" t="str">
        <f t="shared" ca="1" si="25"/>
        <v/>
      </c>
    </row>
    <row r="779" spans="1:3" x14ac:dyDescent="0.15">
      <c r="A779" s="79"/>
      <c r="B779" s="77" t="str">
        <f t="shared" ca="1" si="24"/>
        <v/>
      </c>
      <c r="C779" s="11" t="str">
        <f t="shared" ca="1" si="25"/>
        <v/>
      </c>
    </row>
    <row r="780" spans="1:3" x14ac:dyDescent="0.15">
      <c r="A780" s="79"/>
      <c r="B780" s="77" t="str">
        <f t="shared" ca="1" si="24"/>
        <v/>
      </c>
      <c r="C780" s="11" t="str">
        <f t="shared" ca="1" si="25"/>
        <v/>
      </c>
    </row>
    <row r="781" spans="1:3" x14ac:dyDescent="0.15">
      <c r="A781" s="79"/>
      <c r="B781" s="77" t="str">
        <f t="shared" ca="1" si="24"/>
        <v/>
      </c>
      <c r="C781" s="11" t="str">
        <f t="shared" ca="1" si="25"/>
        <v/>
      </c>
    </row>
    <row r="782" spans="1:3" x14ac:dyDescent="0.15">
      <c r="A782" s="79"/>
      <c r="B782" s="77" t="str">
        <f t="shared" ca="1" si="24"/>
        <v/>
      </c>
      <c r="C782" s="11" t="str">
        <f t="shared" ca="1" si="25"/>
        <v/>
      </c>
    </row>
    <row r="783" spans="1:3" x14ac:dyDescent="0.15">
      <c r="A783" s="79"/>
      <c r="B783" s="77" t="str">
        <f t="shared" ca="1" si="24"/>
        <v/>
      </c>
      <c r="C783" s="11" t="str">
        <f t="shared" ca="1" si="25"/>
        <v/>
      </c>
    </row>
    <row r="784" spans="1:3" x14ac:dyDescent="0.15">
      <c r="A784" s="79"/>
      <c r="B784" s="77" t="str">
        <f t="shared" ca="1" si="24"/>
        <v/>
      </c>
      <c r="C784" s="11" t="str">
        <f t="shared" ca="1" si="25"/>
        <v/>
      </c>
    </row>
    <row r="785" spans="1:3" x14ac:dyDescent="0.15">
      <c r="A785" s="79"/>
      <c r="B785" s="77" t="str">
        <f t="shared" ca="1" si="24"/>
        <v/>
      </c>
      <c r="C785" s="11" t="str">
        <f t="shared" ca="1" si="25"/>
        <v/>
      </c>
    </row>
    <row r="786" spans="1:3" x14ac:dyDescent="0.15">
      <c r="A786" s="79"/>
      <c r="B786" s="77" t="str">
        <f t="shared" ca="1" si="24"/>
        <v/>
      </c>
      <c r="C786" s="11" t="str">
        <f t="shared" ca="1" si="25"/>
        <v/>
      </c>
    </row>
    <row r="787" spans="1:3" x14ac:dyDescent="0.15">
      <c r="A787" s="79"/>
      <c r="B787" s="77" t="str">
        <f t="shared" ca="1" si="24"/>
        <v/>
      </c>
      <c r="C787" s="11" t="str">
        <f t="shared" ca="1" si="25"/>
        <v/>
      </c>
    </row>
    <row r="788" spans="1:3" x14ac:dyDescent="0.15">
      <c r="A788" s="79"/>
      <c r="B788" s="77" t="str">
        <f t="shared" ca="1" si="24"/>
        <v/>
      </c>
      <c r="C788" s="11" t="str">
        <f t="shared" ca="1" si="25"/>
        <v/>
      </c>
    </row>
    <row r="789" spans="1:3" x14ac:dyDescent="0.15">
      <c r="A789" s="79"/>
      <c r="B789" s="77" t="str">
        <f t="shared" ca="1" si="24"/>
        <v/>
      </c>
      <c r="C789" s="11" t="str">
        <f t="shared" ca="1" si="25"/>
        <v/>
      </c>
    </row>
    <row r="790" spans="1:3" x14ac:dyDescent="0.15">
      <c r="A790" s="79"/>
      <c r="B790" s="77" t="str">
        <f t="shared" ca="1" si="24"/>
        <v/>
      </c>
      <c r="C790" s="11" t="str">
        <f t="shared" ca="1" si="25"/>
        <v/>
      </c>
    </row>
    <row r="791" spans="1:3" x14ac:dyDescent="0.15">
      <c r="A791" s="79"/>
      <c r="B791" s="77" t="str">
        <f t="shared" ca="1" si="24"/>
        <v/>
      </c>
      <c r="C791" s="11" t="str">
        <f t="shared" ca="1" si="25"/>
        <v/>
      </c>
    </row>
    <row r="792" spans="1:3" x14ac:dyDescent="0.15">
      <c r="A792" s="79"/>
      <c r="B792" s="77" t="str">
        <f t="shared" ca="1" si="24"/>
        <v/>
      </c>
      <c r="C792" s="11" t="str">
        <f t="shared" ca="1" si="25"/>
        <v/>
      </c>
    </row>
    <row r="793" spans="1:3" x14ac:dyDescent="0.15">
      <c r="A793" s="79"/>
      <c r="B793" s="77" t="str">
        <f t="shared" ca="1" si="24"/>
        <v/>
      </c>
      <c r="C793" s="11" t="str">
        <f t="shared" ca="1" si="25"/>
        <v/>
      </c>
    </row>
    <row r="794" spans="1:3" x14ac:dyDescent="0.15">
      <c r="A794" s="79"/>
      <c r="B794" s="77" t="str">
        <f t="shared" ca="1" si="24"/>
        <v/>
      </c>
      <c r="C794" s="11" t="str">
        <f t="shared" ca="1" si="25"/>
        <v/>
      </c>
    </row>
    <row r="795" spans="1:3" x14ac:dyDescent="0.15">
      <c r="A795" s="79"/>
      <c r="B795" s="77" t="str">
        <f t="shared" ca="1" si="24"/>
        <v/>
      </c>
      <c r="C795" s="11" t="str">
        <f t="shared" ca="1" si="25"/>
        <v/>
      </c>
    </row>
    <row r="796" spans="1:3" x14ac:dyDescent="0.15">
      <c r="A796" s="79"/>
      <c r="B796" s="77" t="str">
        <f t="shared" ca="1" si="24"/>
        <v/>
      </c>
      <c r="C796" s="11" t="str">
        <f t="shared" ca="1" si="25"/>
        <v/>
      </c>
    </row>
    <row r="797" spans="1:3" x14ac:dyDescent="0.15">
      <c r="A797" s="79"/>
      <c r="B797" s="77" t="str">
        <f t="shared" ca="1" si="24"/>
        <v/>
      </c>
      <c r="C797" s="11" t="str">
        <f t="shared" ca="1" si="25"/>
        <v/>
      </c>
    </row>
    <row r="798" spans="1:3" x14ac:dyDescent="0.15">
      <c r="A798" s="79"/>
      <c r="B798" s="77" t="str">
        <f t="shared" ca="1" si="24"/>
        <v/>
      </c>
      <c r="C798" s="11" t="str">
        <f t="shared" ca="1" si="25"/>
        <v/>
      </c>
    </row>
    <row r="799" spans="1:3" x14ac:dyDescent="0.15">
      <c r="A799" s="79"/>
      <c r="B799" s="77" t="str">
        <f t="shared" ca="1" si="24"/>
        <v/>
      </c>
      <c r="C799" s="11" t="str">
        <f t="shared" ca="1" si="25"/>
        <v/>
      </c>
    </row>
    <row r="800" spans="1:3" x14ac:dyDescent="0.15">
      <c r="A800" s="79"/>
      <c r="B800" s="77" t="str">
        <f t="shared" ca="1" si="24"/>
        <v/>
      </c>
      <c r="C800" s="11" t="str">
        <f t="shared" ca="1" si="25"/>
        <v/>
      </c>
    </row>
    <row r="801" spans="1:3" x14ac:dyDescent="0.15">
      <c r="A801" s="79"/>
      <c r="B801" s="77" t="str">
        <f t="shared" ca="1" si="24"/>
        <v/>
      </c>
      <c r="C801" s="11" t="str">
        <f t="shared" ca="1" si="25"/>
        <v/>
      </c>
    </row>
    <row r="802" spans="1:3" x14ac:dyDescent="0.15">
      <c r="A802" s="79"/>
      <c r="B802" s="77" t="str">
        <f t="shared" ca="1" si="24"/>
        <v/>
      </c>
      <c r="C802" s="11" t="str">
        <f t="shared" ca="1" si="25"/>
        <v/>
      </c>
    </row>
    <row r="803" spans="1:3" x14ac:dyDescent="0.15">
      <c r="A803" s="79"/>
      <c r="B803" s="77" t="str">
        <f t="shared" ca="1" si="24"/>
        <v/>
      </c>
      <c r="C803" s="11" t="str">
        <f t="shared" ca="1" si="25"/>
        <v/>
      </c>
    </row>
    <row r="804" spans="1:3" x14ac:dyDescent="0.15">
      <c r="A804" s="79"/>
      <c r="B804" s="77" t="str">
        <f t="shared" ca="1" si="24"/>
        <v/>
      </c>
      <c r="C804" s="11" t="str">
        <f t="shared" ca="1" si="25"/>
        <v/>
      </c>
    </row>
    <row r="805" spans="1:3" x14ac:dyDescent="0.15">
      <c r="A805" s="79"/>
      <c r="B805" s="77" t="str">
        <f t="shared" ca="1" si="24"/>
        <v/>
      </c>
      <c r="C805" s="11" t="str">
        <f t="shared" ca="1" si="25"/>
        <v/>
      </c>
    </row>
    <row r="806" spans="1:3" x14ac:dyDescent="0.15">
      <c r="A806" s="79"/>
      <c r="B806" s="77" t="str">
        <f t="shared" ca="1" si="24"/>
        <v/>
      </c>
      <c r="C806" s="11" t="str">
        <f t="shared" ca="1" si="25"/>
        <v/>
      </c>
    </row>
    <row r="807" spans="1:3" x14ac:dyDescent="0.15">
      <c r="A807" s="79"/>
      <c r="B807" s="77" t="str">
        <f t="shared" ca="1" si="24"/>
        <v/>
      </c>
      <c r="C807" s="11" t="str">
        <f t="shared" ca="1" si="25"/>
        <v/>
      </c>
    </row>
    <row r="808" spans="1:3" x14ac:dyDescent="0.15">
      <c r="A808" s="79"/>
      <c r="B808" s="77" t="str">
        <f t="shared" ca="1" si="24"/>
        <v/>
      </c>
      <c r="C808" s="11" t="str">
        <f t="shared" ca="1" si="25"/>
        <v/>
      </c>
    </row>
    <row r="809" spans="1:3" x14ac:dyDescent="0.15">
      <c r="A809" s="79"/>
      <c r="B809" s="77" t="str">
        <f t="shared" ca="1" si="24"/>
        <v/>
      </c>
      <c r="C809" s="11" t="str">
        <f t="shared" ca="1" si="25"/>
        <v/>
      </c>
    </row>
    <row r="810" spans="1:3" x14ac:dyDescent="0.15">
      <c r="A810" s="79"/>
      <c r="B810" s="77" t="str">
        <f t="shared" ca="1" si="24"/>
        <v/>
      </c>
      <c r="C810" s="11" t="str">
        <f t="shared" ca="1" si="25"/>
        <v/>
      </c>
    </row>
    <row r="811" spans="1:3" x14ac:dyDescent="0.15">
      <c r="A811" s="79"/>
      <c r="B811" s="77" t="str">
        <f t="shared" ca="1" si="24"/>
        <v/>
      </c>
      <c r="C811" s="11" t="str">
        <f t="shared" ca="1" si="25"/>
        <v/>
      </c>
    </row>
    <row r="812" spans="1:3" x14ac:dyDescent="0.15">
      <c r="A812" s="79"/>
      <c r="B812" s="77" t="str">
        <f t="shared" ca="1" si="24"/>
        <v/>
      </c>
      <c r="C812" s="11" t="str">
        <f t="shared" ca="1" si="25"/>
        <v/>
      </c>
    </row>
    <row r="813" spans="1:3" x14ac:dyDescent="0.15">
      <c r="A813" s="79"/>
      <c r="B813" s="77" t="str">
        <f t="shared" ca="1" si="24"/>
        <v/>
      </c>
      <c r="C813" s="11" t="str">
        <f t="shared" ca="1" si="25"/>
        <v/>
      </c>
    </row>
    <row r="814" spans="1:3" x14ac:dyDescent="0.15">
      <c r="A814" s="79"/>
      <c r="B814" s="77" t="str">
        <f t="shared" ca="1" si="24"/>
        <v/>
      </c>
      <c r="C814" s="11" t="str">
        <f t="shared" ca="1" si="25"/>
        <v/>
      </c>
    </row>
    <row r="815" spans="1:3" x14ac:dyDescent="0.15">
      <c r="A815" s="79"/>
      <c r="B815" s="77" t="str">
        <f t="shared" ca="1" si="24"/>
        <v/>
      </c>
      <c r="C815" s="11" t="str">
        <f t="shared" ca="1" si="25"/>
        <v/>
      </c>
    </row>
    <row r="816" spans="1:3" x14ac:dyDescent="0.15">
      <c r="A816" s="79"/>
      <c r="B816" s="77" t="str">
        <f t="shared" ca="1" si="24"/>
        <v/>
      </c>
      <c r="C816" s="11" t="str">
        <f t="shared" ca="1" si="25"/>
        <v/>
      </c>
    </row>
    <row r="817" spans="1:3" x14ac:dyDescent="0.15">
      <c r="A817" s="79"/>
      <c r="B817" s="77" t="str">
        <f t="shared" ca="1" si="24"/>
        <v/>
      </c>
      <c r="C817" s="11" t="str">
        <f t="shared" ca="1" si="25"/>
        <v/>
      </c>
    </row>
    <row r="818" spans="1:3" x14ac:dyDescent="0.15">
      <c r="A818" s="79"/>
      <c r="B818" s="77" t="str">
        <f t="shared" ca="1" si="24"/>
        <v/>
      </c>
      <c r="C818" s="11" t="str">
        <f t="shared" ca="1" si="25"/>
        <v/>
      </c>
    </row>
    <row r="819" spans="1:3" x14ac:dyDescent="0.15">
      <c r="A819" s="79"/>
      <c r="B819" s="77" t="str">
        <f t="shared" ca="1" si="24"/>
        <v/>
      </c>
      <c r="C819" s="11" t="str">
        <f t="shared" ca="1" si="25"/>
        <v/>
      </c>
    </row>
    <row r="820" spans="1:3" x14ac:dyDescent="0.15">
      <c r="A820" s="79"/>
      <c r="B820" s="77" t="str">
        <f t="shared" ca="1" si="24"/>
        <v/>
      </c>
      <c r="C820" s="11" t="str">
        <f t="shared" ca="1" si="25"/>
        <v/>
      </c>
    </row>
    <row r="821" spans="1:3" x14ac:dyDescent="0.15">
      <c r="A821" s="79"/>
      <c r="B821" s="77" t="str">
        <f t="shared" ca="1" si="24"/>
        <v/>
      </c>
      <c r="C821" s="11" t="str">
        <f t="shared" ca="1" si="25"/>
        <v/>
      </c>
    </row>
    <row r="822" spans="1:3" x14ac:dyDescent="0.15">
      <c r="A822" s="79"/>
      <c r="B822" s="77" t="str">
        <f t="shared" ca="1" si="24"/>
        <v/>
      </c>
      <c r="C822" s="11" t="str">
        <f t="shared" ca="1" si="25"/>
        <v/>
      </c>
    </row>
    <row r="823" spans="1:3" x14ac:dyDescent="0.15">
      <c r="A823" s="79"/>
      <c r="B823" s="77" t="str">
        <f t="shared" ca="1" si="24"/>
        <v/>
      </c>
      <c r="C823" s="11" t="str">
        <f t="shared" ca="1" si="25"/>
        <v/>
      </c>
    </row>
    <row r="824" spans="1:3" x14ac:dyDescent="0.15">
      <c r="A824" s="79"/>
      <c r="B824" s="77" t="str">
        <f t="shared" ca="1" si="24"/>
        <v/>
      </c>
      <c r="C824" s="11" t="str">
        <f t="shared" ca="1" si="25"/>
        <v/>
      </c>
    </row>
    <row r="825" spans="1:3" x14ac:dyDescent="0.15">
      <c r="A825" s="79"/>
      <c r="B825" s="77" t="str">
        <f t="shared" ca="1" si="24"/>
        <v/>
      </c>
      <c r="C825" s="11" t="str">
        <f t="shared" ca="1" si="25"/>
        <v/>
      </c>
    </row>
    <row r="826" spans="1:3" x14ac:dyDescent="0.15">
      <c r="A826" s="79"/>
      <c r="B826" s="77" t="str">
        <f t="shared" ca="1" si="24"/>
        <v/>
      </c>
      <c r="C826" s="11" t="str">
        <f t="shared" ca="1" si="25"/>
        <v/>
      </c>
    </row>
    <row r="827" spans="1:3" x14ac:dyDescent="0.15">
      <c r="A827" s="79"/>
      <c r="B827" s="77" t="str">
        <f t="shared" ca="1" si="24"/>
        <v/>
      </c>
      <c r="C827" s="11" t="str">
        <f t="shared" ca="1" si="25"/>
        <v/>
      </c>
    </row>
    <row r="828" spans="1:3" x14ac:dyDescent="0.15">
      <c r="A828" s="79"/>
      <c r="B828" s="77" t="str">
        <f t="shared" ca="1" si="24"/>
        <v/>
      </c>
      <c r="C828" s="11" t="str">
        <f t="shared" ca="1" si="25"/>
        <v/>
      </c>
    </row>
    <row r="829" spans="1:3" x14ac:dyDescent="0.15">
      <c r="A829" s="79"/>
      <c r="B829" s="77" t="str">
        <f t="shared" ca="1" si="24"/>
        <v/>
      </c>
      <c r="C829" s="11" t="str">
        <f t="shared" ca="1" si="25"/>
        <v/>
      </c>
    </row>
    <row r="830" spans="1:3" x14ac:dyDescent="0.15">
      <c r="A830" s="79"/>
      <c r="B830" s="77" t="str">
        <f t="shared" ca="1" si="24"/>
        <v/>
      </c>
      <c r="C830" s="11" t="str">
        <f t="shared" ca="1" si="25"/>
        <v/>
      </c>
    </row>
    <row r="831" spans="1:3" x14ac:dyDescent="0.15">
      <c r="A831" s="79"/>
      <c r="B831" s="77" t="str">
        <f t="shared" ca="1" si="24"/>
        <v/>
      </c>
      <c r="C831" s="11" t="str">
        <f t="shared" ca="1" si="25"/>
        <v/>
      </c>
    </row>
    <row r="832" spans="1:3" x14ac:dyDescent="0.15">
      <c r="A832" s="79"/>
      <c r="B832" s="77" t="str">
        <f t="shared" ca="1" si="24"/>
        <v/>
      </c>
      <c r="C832" s="11" t="str">
        <f t="shared" ca="1" si="25"/>
        <v/>
      </c>
    </row>
    <row r="833" spans="1:3" x14ac:dyDescent="0.15">
      <c r="A833" s="79"/>
      <c r="B833" s="77" t="str">
        <f t="shared" ca="1" si="24"/>
        <v/>
      </c>
      <c r="C833" s="11" t="str">
        <f t="shared" ca="1" si="25"/>
        <v/>
      </c>
    </row>
    <row r="834" spans="1:3" x14ac:dyDescent="0.15">
      <c r="A834" s="79"/>
      <c r="B834" s="77" t="str">
        <f t="shared" ref="B834:B897" ca="1" si="26">IFERROR(VLOOKUP(TEXT(A834,"00000000"),analysis_table_by_barcode,15,FALSE),"")</f>
        <v/>
      </c>
      <c r="C834" s="11" t="str">
        <f t="shared" ref="C834:C897" ca="1" si="27">IF($B834&lt;&gt;"", IF(VLOOKUP(B834, final_to_ministry_result,2,FALSE)&lt;&gt;"",VLOOKUP(B834, final_to_ministry_result,2,FALSE),""),"")</f>
        <v/>
      </c>
    </row>
    <row r="835" spans="1:3" x14ac:dyDescent="0.15">
      <c r="A835" s="79"/>
      <c r="B835" s="77" t="str">
        <f t="shared" ca="1" si="26"/>
        <v/>
      </c>
      <c r="C835" s="11" t="str">
        <f t="shared" ca="1" si="27"/>
        <v/>
      </c>
    </row>
    <row r="836" spans="1:3" x14ac:dyDescent="0.15">
      <c r="A836" s="79"/>
      <c r="B836" s="77" t="str">
        <f t="shared" ca="1" si="26"/>
        <v/>
      </c>
      <c r="C836" s="11" t="str">
        <f t="shared" ca="1" si="27"/>
        <v/>
      </c>
    </row>
    <row r="837" spans="1:3" x14ac:dyDescent="0.15">
      <c r="A837" s="79"/>
      <c r="B837" s="77" t="str">
        <f t="shared" ca="1" si="26"/>
        <v/>
      </c>
      <c r="C837" s="11" t="str">
        <f t="shared" ca="1" si="27"/>
        <v/>
      </c>
    </row>
    <row r="838" spans="1:3" x14ac:dyDescent="0.15">
      <c r="A838" s="79"/>
      <c r="B838" s="77" t="str">
        <f t="shared" ca="1" si="26"/>
        <v/>
      </c>
      <c r="C838" s="11" t="str">
        <f t="shared" ca="1" si="27"/>
        <v/>
      </c>
    </row>
    <row r="839" spans="1:3" x14ac:dyDescent="0.15">
      <c r="A839" s="79"/>
      <c r="B839" s="77" t="str">
        <f t="shared" ca="1" si="26"/>
        <v/>
      </c>
      <c r="C839" s="11" t="str">
        <f t="shared" ca="1" si="27"/>
        <v/>
      </c>
    </row>
    <row r="840" spans="1:3" x14ac:dyDescent="0.15">
      <c r="A840" s="79"/>
      <c r="B840" s="77" t="str">
        <f t="shared" ca="1" si="26"/>
        <v/>
      </c>
      <c r="C840" s="11" t="str">
        <f t="shared" ca="1" si="27"/>
        <v/>
      </c>
    </row>
    <row r="841" spans="1:3" x14ac:dyDescent="0.15">
      <c r="A841" s="79"/>
      <c r="B841" s="77" t="str">
        <f t="shared" ca="1" si="26"/>
        <v/>
      </c>
      <c r="C841" s="11" t="str">
        <f t="shared" ca="1" si="27"/>
        <v/>
      </c>
    </row>
    <row r="842" spans="1:3" x14ac:dyDescent="0.15">
      <c r="A842" s="79"/>
      <c r="B842" s="77" t="str">
        <f t="shared" ca="1" si="26"/>
        <v/>
      </c>
      <c r="C842" s="11" t="str">
        <f t="shared" ca="1" si="27"/>
        <v/>
      </c>
    </row>
    <row r="843" spans="1:3" x14ac:dyDescent="0.15">
      <c r="A843" s="79"/>
      <c r="B843" s="77" t="str">
        <f t="shared" ca="1" si="26"/>
        <v/>
      </c>
      <c r="C843" s="11" t="str">
        <f t="shared" ca="1" si="27"/>
        <v/>
      </c>
    </row>
    <row r="844" spans="1:3" x14ac:dyDescent="0.15">
      <c r="A844" s="79"/>
      <c r="B844" s="77" t="str">
        <f t="shared" ca="1" si="26"/>
        <v/>
      </c>
      <c r="C844" s="11" t="str">
        <f t="shared" ca="1" si="27"/>
        <v/>
      </c>
    </row>
    <row r="845" spans="1:3" x14ac:dyDescent="0.15">
      <c r="A845" s="79"/>
      <c r="B845" s="77" t="str">
        <f t="shared" ca="1" si="26"/>
        <v/>
      </c>
      <c r="C845" s="11" t="str">
        <f t="shared" ca="1" si="27"/>
        <v/>
      </c>
    </row>
    <row r="846" spans="1:3" x14ac:dyDescent="0.15">
      <c r="A846" s="79"/>
      <c r="B846" s="77" t="str">
        <f t="shared" ca="1" si="26"/>
        <v/>
      </c>
      <c r="C846" s="11" t="str">
        <f t="shared" ca="1" si="27"/>
        <v/>
      </c>
    </row>
    <row r="847" spans="1:3" x14ac:dyDescent="0.15">
      <c r="A847" s="79"/>
      <c r="B847" s="77" t="str">
        <f t="shared" ca="1" si="26"/>
        <v/>
      </c>
      <c r="C847" s="11" t="str">
        <f t="shared" ca="1" si="27"/>
        <v/>
      </c>
    </row>
    <row r="848" spans="1:3" x14ac:dyDescent="0.15">
      <c r="A848" s="79"/>
      <c r="B848" s="77" t="str">
        <f t="shared" ca="1" si="26"/>
        <v/>
      </c>
      <c r="C848" s="11" t="str">
        <f t="shared" ca="1" si="27"/>
        <v/>
      </c>
    </row>
    <row r="849" spans="1:3" x14ac:dyDescent="0.15">
      <c r="A849" s="79"/>
      <c r="B849" s="77" t="str">
        <f t="shared" ca="1" si="26"/>
        <v/>
      </c>
      <c r="C849" s="11" t="str">
        <f t="shared" ca="1" si="27"/>
        <v/>
      </c>
    </row>
    <row r="850" spans="1:3" x14ac:dyDescent="0.15">
      <c r="A850" s="79"/>
      <c r="B850" s="77" t="str">
        <f t="shared" ca="1" si="26"/>
        <v/>
      </c>
      <c r="C850" s="11" t="str">
        <f t="shared" ca="1" si="27"/>
        <v/>
      </c>
    </row>
    <row r="851" spans="1:3" x14ac:dyDescent="0.15">
      <c r="A851" s="79"/>
      <c r="B851" s="77" t="str">
        <f t="shared" ca="1" si="26"/>
        <v/>
      </c>
      <c r="C851" s="11" t="str">
        <f t="shared" ca="1" si="27"/>
        <v/>
      </c>
    </row>
    <row r="852" spans="1:3" x14ac:dyDescent="0.15">
      <c r="A852" s="79"/>
      <c r="B852" s="77" t="str">
        <f t="shared" ca="1" si="26"/>
        <v/>
      </c>
      <c r="C852" s="11" t="str">
        <f t="shared" ca="1" si="27"/>
        <v/>
      </c>
    </row>
    <row r="853" spans="1:3" x14ac:dyDescent="0.15">
      <c r="A853" s="79"/>
      <c r="B853" s="77" t="str">
        <f t="shared" ca="1" si="26"/>
        <v/>
      </c>
      <c r="C853" s="11" t="str">
        <f t="shared" ca="1" si="27"/>
        <v/>
      </c>
    </row>
    <row r="854" spans="1:3" x14ac:dyDescent="0.15">
      <c r="A854" s="79"/>
      <c r="B854" s="77" t="str">
        <f t="shared" ca="1" si="26"/>
        <v/>
      </c>
      <c r="C854" s="11" t="str">
        <f t="shared" ca="1" si="27"/>
        <v/>
      </c>
    </row>
    <row r="855" spans="1:3" x14ac:dyDescent="0.15">
      <c r="A855" s="79"/>
      <c r="B855" s="77" t="str">
        <f t="shared" ca="1" si="26"/>
        <v/>
      </c>
      <c r="C855" s="11" t="str">
        <f t="shared" ca="1" si="27"/>
        <v/>
      </c>
    </row>
    <row r="856" spans="1:3" x14ac:dyDescent="0.15">
      <c r="A856" s="79"/>
      <c r="B856" s="77" t="str">
        <f t="shared" ca="1" si="26"/>
        <v/>
      </c>
      <c r="C856" s="11" t="str">
        <f t="shared" ca="1" si="27"/>
        <v/>
      </c>
    </row>
    <row r="857" spans="1:3" x14ac:dyDescent="0.15">
      <c r="A857" s="79"/>
      <c r="B857" s="77" t="str">
        <f t="shared" ca="1" si="26"/>
        <v/>
      </c>
      <c r="C857" s="11" t="str">
        <f t="shared" ca="1" si="27"/>
        <v/>
      </c>
    </row>
    <row r="858" spans="1:3" x14ac:dyDescent="0.15">
      <c r="A858" s="79"/>
      <c r="B858" s="77" t="str">
        <f t="shared" ca="1" si="26"/>
        <v/>
      </c>
      <c r="C858" s="11" t="str">
        <f t="shared" ca="1" si="27"/>
        <v/>
      </c>
    </row>
    <row r="859" spans="1:3" x14ac:dyDescent="0.15">
      <c r="A859" s="79"/>
      <c r="B859" s="77" t="str">
        <f t="shared" ca="1" si="26"/>
        <v/>
      </c>
      <c r="C859" s="11" t="str">
        <f t="shared" ca="1" si="27"/>
        <v/>
      </c>
    </row>
    <row r="860" spans="1:3" x14ac:dyDescent="0.15">
      <c r="A860" s="79"/>
      <c r="B860" s="77" t="str">
        <f t="shared" ca="1" si="26"/>
        <v/>
      </c>
      <c r="C860" s="11" t="str">
        <f t="shared" ca="1" si="27"/>
        <v/>
      </c>
    </row>
    <row r="861" spans="1:3" x14ac:dyDescent="0.15">
      <c r="A861" s="79"/>
      <c r="B861" s="77" t="str">
        <f t="shared" ca="1" si="26"/>
        <v/>
      </c>
      <c r="C861" s="11" t="str">
        <f t="shared" ca="1" si="27"/>
        <v/>
      </c>
    </row>
    <row r="862" spans="1:3" x14ac:dyDescent="0.15">
      <c r="A862" s="79"/>
      <c r="B862" s="77" t="str">
        <f t="shared" ca="1" si="26"/>
        <v/>
      </c>
      <c r="C862" s="11" t="str">
        <f t="shared" ca="1" si="27"/>
        <v/>
      </c>
    </row>
    <row r="863" spans="1:3" x14ac:dyDescent="0.15">
      <c r="A863" s="79"/>
      <c r="B863" s="77" t="str">
        <f t="shared" ca="1" si="26"/>
        <v/>
      </c>
      <c r="C863" s="11" t="str">
        <f t="shared" ca="1" si="27"/>
        <v/>
      </c>
    </row>
    <row r="864" spans="1:3" x14ac:dyDescent="0.15">
      <c r="A864" s="79"/>
      <c r="B864" s="77" t="str">
        <f t="shared" ca="1" si="26"/>
        <v/>
      </c>
      <c r="C864" s="11" t="str">
        <f t="shared" ca="1" si="27"/>
        <v/>
      </c>
    </row>
    <row r="865" spans="1:3" x14ac:dyDescent="0.15">
      <c r="A865" s="79"/>
      <c r="B865" s="77" t="str">
        <f t="shared" ca="1" si="26"/>
        <v/>
      </c>
      <c r="C865" s="11" t="str">
        <f t="shared" ca="1" si="27"/>
        <v/>
      </c>
    </row>
    <row r="866" spans="1:3" x14ac:dyDescent="0.15">
      <c r="A866" s="79"/>
      <c r="B866" s="77" t="str">
        <f t="shared" ca="1" si="26"/>
        <v/>
      </c>
      <c r="C866" s="11" t="str">
        <f t="shared" ca="1" si="27"/>
        <v/>
      </c>
    </row>
    <row r="867" spans="1:3" x14ac:dyDescent="0.15">
      <c r="A867" s="79"/>
      <c r="B867" s="77" t="str">
        <f t="shared" ca="1" si="26"/>
        <v/>
      </c>
      <c r="C867" s="11" t="str">
        <f t="shared" ca="1" si="27"/>
        <v/>
      </c>
    </row>
    <row r="868" spans="1:3" x14ac:dyDescent="0.15">
      <c r="A868" s="79"/>
      <c r="B868" s="77" t="str">
        <f t="shared" ca="1" si="26"/>
        <v/>
      </c>
      <c r="C868" s="11" t="str">
        <f t="shared" ca="1" si="27"/>
        <v/>
      </c>
    </row>
    <row r="869" spans="1:3" x14ac:dyDescent="0.15">
      <c r="A869" s="79"/>
      <c r="B869" s="77" t="str">
        <f t="shared" ca="1" si="26"/>
        <v/>
      </c>
      <c r="C869" s="11" t="str">
        <f t="shared" ca="1" si="27"/>
        <v/>
      </c>
    </row>
    <row r="870" spans="1:3" x14ac:dyDescent="0.15">
      <c r="A870" s="79"/>
      <c r="B870" s="77" t="str">
        <f t="shared" ca="1" si="26"/>
        <v/>
      </c>
      <c r="C870" s="11" t="str">
        <f t="shared" ca="1" si="27"/>
        <v/>
      </c>
    </row>
    <row r="871" spans="1:3" x14ac:dyDescent="0.15">
      <c r="A871" s="79"/>
      <c r="B871" s="77" t="str">
        <f t="shared" ca="1" si="26"/>
        <v/>
      </c>
      <c r="C871" s="11" t="str">
        <f t="shared" ca="1" si="27"/>
        <v/>
      </c>
    </row>
    <row r="872" spans="1:3" x14ac:dyDescent="0.15">
      <c r="A872" s="79"/>
      <c r="B872" s="77" t="str">
        <f t="shared" ca="1" si="26"/>
        <v/>
      </c>
      <c r="C872" s="11" t="str">
        <f t="shared" ca="1" si="27"/>
        <v/>
      </c>
    </row>
    <row r="873" spans="1:3" x14ac:dyDescent="0.15">
      <c r="A873" s="79"/>
      <c r="B873" s="77" t="str">
        <f t="shared" ca="1" si="26"/>
        <v/>
      </c>
      <c r="C873" s="11" t="str">
        <f t="shared" ca="1" si="27"/>
        <v/>
      </c>
    </row>
    <row r="874" spans="1:3" x14ac:dyDescent="0.15">
      <c r="A874" s="79"/>
      <c r="B874" s="77" t="str">
        <f t="shared" ca="1" si="26"/>
        <v/>
      </c>
      <c r="C874" s="11" t="str">
        <f t="shared" ca="1" si="27"/>
        <v/>
      </c>
    </row>
    <row r="875" spans="1:3" x14ac:dyDescent="0.15">
      <c r="A875" s="79"/>
      <c r="B875" s="77" t="str">
        <f t="shared" ca="1" si="26"/>
        <v/>
      </c>
      <c r="C875" s="11" t="str">
        <f t="shared" ca="1" si="27"/>
        <v/>
      </c>
    </row>
    <row r="876" spans="1:3" x14ac:dyDescent="0.15">
      <c r="A876" s="79"/>
      <c r="B876" s="77" t="str">
        <f t="shared" ca="1" si="26"/>
        <v/>
      </c>
      <c r="C876" s="11" t="str">
        <f t="shared" ca="1" si="27"/>
        <v/>
      </c>
    </row>
    <row r="877" spans="1:3" x14ac:dyDescent="0.15">
      <c r="A877" s="79"/>
      <c r="B877" s="77" t="str">
        <f t="shared" ca="1" si="26"/>
        <v/>
      </c>
      <c r="C877" s="11" t="str">
        <f t="shared" ca="1" si="27"/>
        <v/>
      </c>
    </row>
    <row r="878" spans="1:3" x14ac:dyDescent="0.15">
      <c r="A878" s="79"/>
      <c r="B878" s="77" t="str">
        <f t="shared" ca="1" si="26"/>
        <v/>
      </c>
      <c r="C878" s="11" t="str">
        <f t="shared" ca="1" si="27"/>
        <v/>
      </c>
    </row>
    <row r="879" spans="1:3" x14ac:dyDescent="0.15">
      <c r="A879" s="79"/>
      <c r="B879" s="77" t="str">
        <f t="shared" ca="1" si="26"/>
        <v/>
      </c>
      <c r="C879" s="11" t="str">
        <f t="shared" ca="1" si="27"/>
        <v/>
      </c>
    </row>
    <row r="880" spans="1:3" x14ac:dyDescent="0.15">
      <c r="A880" s="79"/>
      <c r="B880" s="77" t="str">
        <f t="shared" ca="1" si="26"/>
        <v/>
      </c>
      <c r="C880" s="11" t="str">
        <f t="shared" ca="1" si="27"/>
        <v/>
      </c>
    </row>
    <row r="881" spans="1:3" x14ac:dyDescent="0.15">
      <c r="A881" s="79"/>
      <c r="B881" s="77" t="str">
        <f t="shared" ca="1" si="26"/>
        <v/>
      </c>
      <c r="C881" s="11" t="str">
        <f t="shared" ca="1" si="27"/>
        <v/>
      </c>
    </row>
    <row r="882" spans="1:3" x14ac:dyDescent="0.15">
      <c r="A882" s="79"/>
      <c r="B882" s="77" t="str">
        <f t="shared" ca="1" si="26"/>
        <v/>
      </c>
      <c r="C882" s="11" t="str">
        <f t="shared" ca="1" si="27"/>
        <v/>
      </c>
    </row>
    <row r="883" spans="1:3" x14ac:dyDescent="0.15">
      <c r="A883" s="79"/>
      <c r="B883" s="77" t="str">
        <f t="shared" ca="1" si="26"/>
        <v/>
      </c>
      <c r="C883" s="11" t="str">
        <f t="shared" ca="1" si="27"/>
        <v/>
      </c>
    </row>
    <row r="884" spans="1:3" x14ac:dyDescent="0.15">
      <c r="A884" s="79"/>
      <c r="B884" s="77" t="str">
        <f t="shared" ca="1" si="26"/>
        <v/>
      </c>
      <c r="C884" s="11" t="str">
        <f t="shared" ca="1" si="27"/>
        <v/>
      </c>
    </row>
    <row r="885" spans="1:3" x14ac:dyDescent="0.15">
      <c r="A885" s="79"/>
      <c r="B885" s="77" t="str">
        <f t="shared" ca="1" si="26"/>
        <v/>
      </c>
      <c r="C885" s="11" t="str">
        <f t="shared" ca="1" si="27"/>
        <v/>
      </c>
    </row>
    <row r="886" spans="1:3" x14ac:dyDescent="0.15">
      <c r="A886" s="79"/>
      <c r="B886" s="77" t="str">
        <f t="shared" ca="1" si="26"/>
        <v/>
      </c>
      <c r="C886" s="11" t="str">
        <f t="shared" ca="1" si="27"/>
        <v/>
      </c>
    </row>
    <row r="887" spans="1:3" x14ac:dyDescent="0.15">
      <c r="A887" s="79"/>
      <c r="B887" s="77" t="str">
        <f t="shared" ca="1" si="26"/>
        <v/>
      </c>
      <c r="C887" s="11" t="str">
        <f t="shared" ca="1" si="27"/>
        <v/>
      </c>
    </row>
    <row r="888" spans="1:3" x14ac:dyDescent="0.15">
      <c r="A888" s="79"/>
      <c r="B888" s="77" t="str">
        <f t="shared" ca="1" si="26"/>
        <v/>
      </c>
      <c r="C888" s="11" t="str">
        <f t="shared" ca="1" si="27"/>
        <v/>
      </c>
    </row>
    <row r="889" spans="1:3" x14ac:dyDescent="0.15">
      <c r="A889" s="79"/>
      <c r="B889" s="77" t="str">
        <f t="shared" ca="1" si="26"/>
        <v/>
      </c>
      <c r="C889" s="11" t="str">
        <f t="shared" ca="1" si="27"/>
        <v/>
      </c>
    </row>
    <row r="890" spans="1:3" x14ac:dyDescent="0.15">
      <c r="A890" s="79"/>
      <c r="B890" s="77" t="str">
        <f t="shared" ca="1" si="26"/>
        <v/>
      </c>
      <c r="C890" s="11" t="str">
        <f t="shared" ca="1" si="27"/>
        <v/>
      </c>
    </row>
    <row r="891" spans="1:3" x14ac:dyDescent="0.15">
      <c r="A891" s="79"/>
      <c r="B891" s="77" t="str">
        <f t="shared" ca="1" si="26"/>
        <v/>
      </c>
      <c r="C891" s="11" t="str">
        <f t="shared" ca="1" si="27"/>
        <v/>
      </c>
    </row>
    <row r="892" spans="1:3" x14ac:dyDescent="0.15">
      <c r="A892" s="79"/>
      <c r="B892" s="77" t="str">
        <f t="shared" ca="1" si="26"/>
        <v/>
      </c>
      <c r="C892" s="11" t="str">
        <f t="shared" ca="1" si="27"/>
        <v/>
      </c>
    </row>
    <row r="893" spans="1:3" x14ac:dyDescent="0.15">
      <c r="A893" s="79"/>
      <c r="B893" s="77" t="str">
        <f t="shared" ca="1" si="26"/>
        <v/>
      </c>
      <c r="C893" s="11" t="str">
        <f t="shared" ca="1" si="27"/>
        <v/>
      </c>
    </row>
    <row r="894" spans="1:3" x14ac:dyDescent="0.15">
      <c r="A894" s="79"/>
      <c r="B894" s="77" t="str">
        <f t="shared" ca="1" si="26"/>
        <v/>
      </c>
      <c r="C894" s="11" t="str">
        <f t="shared" ca="1" si="27"/>
        <v/>
      </c>
    </row>
    <row r="895" spans="1:3" x14ac:dyDescent="0.15">
      <c r="A895" s="79"/>
      <c r="B895" s="77" t="str">
        <f t="shared" ca="1" si="26"/>
        <v/>
      </c>
      <c r="C895" s="11" t="str">
        <f t="shared" ca="1" si="27"/>
        <v/>
      </c>
    </row>
    <row r="896" spans="1:3" x14ac:dyDescent="0.15">
      <c r="A896" s="79"/>
      <c r="B896" s="77" t="str">
        <f t="shared" ca="1" si="26"/>
        <v/>
      </c>
      <c r="C896" s="11" t="str">
        <f t="shared" ca="1" si="27"/>
        <v/>
      </c>
    </row>
    <row r="897" spans="1:3" x14ac:dyDescent="0.15">
      <c r="A897" s="79"/>
      <c r="B897" s="77" t="str">
        <f t="shared" ca="1" si="26"/>
        <v/>
      </c>
      <c r="C897" s="11" t="str">
        <f t="shared" ca="1" si="27"/>
        <v/>
      </c>
    </row>
    <row r="898" spans="1:3" x14ac:dyDescent="0.15">
      <c r="A898" s="79"/>
      <c r="B898" s="77" t="str">
        <f t="shared" ref="B898:B961" ca="1" si="28">IFERROR(VLOOKUP(TEXT(A898,"00000000"),analysis_table_by_barcode,15,FALSE),"")</f>
        <v/>
      </c>
      <c r="C898" s="11" t="str">
        <f t="shared" ref="C898:C961" ca="1" si="29">IF($B898&lt;&gt;"", IF(VLOOKUP(B898, final_to_ministry_result,2,FALSE)&lt;&gt;"",VLOOKUP(B898, final_to_ministry_result,2,FALSE),""),"")</f>
        <v/>
      </c>
    </row>
    <row r="899" spans="1:3" x14ac:dyDescent="0.15">
      <c r="A899" s="79"/>
      <c r="B899" s="77" t="str">
        <f t="shared" ca="1" si="28"/>
        <v/>
      </c>
      <c r="C899" s="11" t="str">
        <f t="shared" ca="1" si="29"/>
        <v/>
      </c>
    </row>
    <row r="900" spans="1:3" x14ac:dyDescent="0.15">
      <c r="A900" s="79"/>
      <c r="B900" s="77" t="str">
        <f t="shared" ca="1" si="28"/>
        <v/>
      </c>
      <c r="C900" s="11" t="str">
        <f t="shared" ca="1" si="29"/>
        <v/>
      </c>
    </row>
    <row r="901" spans="1:3" x14ac:dyDescent="0.15">
      <c r="A901" s="79"/>
      <c r="B901" s="77" t="str">
        <f t="shared" ca="1" si="28"/>
        <v/>
      </c>
      <c r="C901" s="11" t="str">
        <f t="shared" ca="1" si="29"/>
        <v/>
      </c>
    </row>
    <row r="902" spans="1:3" x14ac:dyDescent="0.15">
      <c r="A902" s="79"/>
      <c r="B902" s="77" t="str">
        <f t="shared" ca="1" si="28"/>
        <v/>
      </c>
      <c r="C902" s="11" t="str">
        <f t="shared" ca="1" si="29"/>
        <v/>
      </c>
    </row>
    <row r="903" spans="1:3" x14ac:dyDescent="0.15">
      <c r="A903" s="79"/>
      <c r="B903" s="77" t="str">
        <f t="shared" ca="1" si="28"/>
        <v/>
      </c>
      <c r="C903" s="11" t="str">
        <f t="shared" ca="1" si="29"/>
        <v/>
      </c>
    </row>
    <row r="904" spans="1:3" x14ac:dyDescent="0.15">
      <c r="A904" s="79"/>
      <c r="B904" s="77" t="str">
        <f t="shared" ca="1" si="28"/>
        <v/>
      </c>
      <c r="C904" s="11" t="str">
        <f t="shared" ca="1" si="29"/>
        <v/>
      </c>
    </row>
    <row r="905" spans="1:3" x14ac:dyDescent="0.15">
      <c r="A905" s="79"/>
      <c r="B905" s="77" t="str">
        <f t="shared" ca="1" si="28"/>
        <v/>
      </c>
      <c r="C905" s="11" t="str">
        <f t="shared" ca="1" si="29"/>
        <v/>
      </c>
    </row>
    <row r="906" spans="1:3" x14ac:dyDescent="0.15">
      <c r="A906" s="79"/>
      <c r="B906" s="77" t="str">
        <f t="shared" ca="1" si="28"/>
        <v/>
      </c>
      <c r="C906" s="11" t="str">
        <f t="shared" ca="1" si="29"/>
        <v/>
      </c>
    </row>
    <row r="907" spans="1:3" x14ac:dyDescent="0.15">
      <c r="A907" s="79"/>
      <c r="B907" s="77" t="str">
        <f t="shared" ca="1" si="28"/>
        <v/>
      </c>
      <c r="C907" s="11" t="str">
        <f t="shared" ca="1" si="29"/>
        <v/>
      </c>
    </row>
    <row r="908" spans="1:3" x14ac:dyDescent="0.15">
      <c r="A908" s="79"/>
      <c r="B908" s="77" t="str">
        <f t="shared" ca="1" si="28"/>
        <v/>
      </c>
      <c r="C908" s="11" t="str">
        <f t="shared" ca="1" si="29"/>
        <v/>
      </c>
    </row>
    <row r="909" spans="1:3" x14ac:dyDescent="0.15">
      <c r="A909" s="79"/>
      <c r="B909" s="77" t="str">
        <f t="shared" ca="1" si="28"/>
        <v/>
      </c>
      <c r="C909" s="11" t="str">
        <f t="shared" ca="1" si="29"/>
        <v/>
      </c>
    </row>
    <row r="910" spans="1:3" x14ac:dyDescent="0.15">
      <c r="A910" s="79"/>
      <c r="B910" s="77" t="str">
        <f t="shared" ca="1" si="28"/>
        <v/>
      </c>
      <c r="C910" s="11" t="str">
        <f t="shared" ca="1" si="29"/>
        <v/>
      </c>
    </row>
    <row r="911" spans="1:3" x14ac:dyDescent="0.15">
      <c r="A911" s="79"/>
      <c r="B911" s="77" t="str">
        <f t="shared" ca="1" si="28"/>
        <v/>
      </c>
      <c r="C911" s="11" t="str">
        <f t="shared" ca="1" si="29"/>
        <v/>
      </c>
    </row>
    <row r="912" spans="1:3" x14ac:dyDescent="0.15">
      <c r="A912" s="79"/>
      <c r="B912" s="77" t="str">
        <f t="shared" ca="1" si="28"/>
        <v/>
      </c>
      <c r="C912" s="11" t="str">
        <f t="shared" ca="1" si="29"/>
        <v/>
      </c>
    </row>
    <row r="913" spans="1:3" x14ac:dyDescent="0.15">
      <c r="A913" s="79"/>
      <c r="B913" s="77" t="str">
        <f t="shared" ca="1" si="28"/>
        <v/>
      </c>
      <c r="C913" s="11" t="str">
        <f t="shared" ca="1" si="29"/>
        <v/>
      </c>
    </row>
    <row r="914" spans="1:3" x14ac:dyDescent="0.15">
      <c r="A914" s="79"/>
      <c r="B914" s="77" t="str">
        <f t="shared" ca="1" si="28"/>
        <v/>
      </c>
      <c r="C914" s="11" t="str">
        <f t="shared" ca="1" si="29"/>
        <v/>
      </c>
    </row>
    <row r="915" spans="1:3" x14ac:dyDescent="0.15">
      <c r="A915" s="79"/>
      <c r="B915" s="77" t="str">
        <f t="shared" ca="1" si="28"/>
        <v/>
      </c>
      <c r="C915" s="11" t="str">
        <f t="shared" ca="1" si="29"/>
        <v/>
      </c>
    </row>
    <row r="916" spans="1:3" x14ac:dyDescent="0.15">
      <c r="A916" s="79"/>
      <c r="B916" s="77" t="str">
        <f t="shared" ca="1" si="28"/>
        <v/>
      </c>
      <c r="C916" s="11" t="str">
        <f t="shared" ca="1" si="29"/>
        <v/>
      </c>
    </row>
    <row r="917" spans="1:3" x14ac:dyDescent="0.15">
      <c r="A917" s="79"/>
      <c r="B917" s="77" t="str">
        <f t="shared" ca="1" si="28"/>
        <v/>
      </c>
      <c r="C917" s="11" t="str">
        <f t="shared" ca="1" si="29"/>
        <v/>
      </c>
    </row>
    <row r="918" spans="1:3" x14ac:dyDescent="0.15">
      <c r="A918" s="79"/>
      <c r="B918" s="77" t="str">
        <f t="shared" ca="1" si="28"/>
        <v/>
      </c>
      <c r="C918" s="11" t="str">
        <f t="shared" ca="1" si="29"/>
        <v/>
      </c>
    </row>
    <row r="919" spans="1:3" x14ac:dyDescent="0.15">
      <c r="A919" s="79"/>
      <c r="B919" s="77" t="str">
        <f t="shared" ca="1" si="28"/>
        <v/>
      </c>
      <c r="C919" s="11" t="str">
        <f t="shared" ca="1" si="29"/>
        <v/>
      </c>
    </row>
    <row r="920" spans="1:3" x14ac:dyDescent="0.15">
      <c r="A920" s="79"/>
      <c r="B920" s="77" t="str">
        <f t="shared" ca="1" si="28"/>
        <v/>
      </c>
      <c r="C920" s="11" t="str">
        <f t="shared" ca="1" si="29"/>
        <v/>
      </c>
    </row>
    <row r="921" spans="1:3" x14ac:dyDescent="0.15">
      <c r="A921" s="79"/>
      <c r="B921" s="77" t="str">
        <f t="shared" ca="1" si="28"/>
        <v/>
      </c>
      <c r="C921" s="11" t="str">
        <f t="shared" ca="1" si="29"/>
        <v/>
      </c>
    </row>
    <row r="922" spans="1:3" x14ac:dyDescent="0.15">
      <c r="A922" s="79"/>
      <c r="B922" s="77" t="str">
        <f t="shared" ca="1" si="28"/>
        <v/>
      </c>
      <c r="C922" s="11" t="str">
        <f t="shared" ca="1" si="29"/>
        <v/>
      </c>
    </row>
    <row r="923" spans="1:3" x14ac:dyDescent="0.15">
      <c r="A923" s="79"/>
      <c r="B923" s="77" t="str">
        <f t="shared" ca="1" si="28"/>
        <v/>
      </c>
      <c r="C923" s="11" t="str">
        <f t="shared" ca="1" si="29"/>
        <v/>
      </c>
    </row>
    <row r="924" spans="1:3" x14ac:dyDescent="0.15">
      <c r="A924" s="79"/>
      <c r="B924" s="77" t="str">
        <f t="shared" ca="1" si="28"/>
        <v/>
      </c>
      <c r="C924" s="11" t="str">
        <f t="shared" ca="1" si="29"/>
        <v/>
      </c>
    </row>
    <row r="925" spans="1:3" x14ac:dyDescent="0.15">
      <c r="A925" s="79"/>
      <c r="B925" s="77" t="str">
        <f t="shared" ca="1" si="28"/>
        <v/>
      </c>
      <c r="C925" s="11" t="str">
        <f t="shared" ca="1" si="29"/>
        <v/>
      </c>
    </row>
    <row r="926" spans="1:3" x14ac:dyDescent="0.15">
      <c r="A926" s="79"/>
      <c r="B926" s="77" t="str">
        <f t="shared" ca="1" si="28"/>
        <v/>
      </c>
      <c r="C926" s="11" t="str">
        <f t="shared" ca="1" si="29"/>
        <v/>
      </c>
    </row>
    <row r="927" spans="1:3" x14ac:dyDescent="0.15">
      <c r="A927" s="79"/>
      <c r="B927" s="77" t="str">
        <f t="shared" ca="1" si="28"/>
        <v/>
      </c>
      <c r="C927" s="11" t="str">
        <f t="shared" ca="1" si="29"/>
        <v/>
      </c>
    </row>
    <row r="928" spans="1:3" x14ac:dyDescent="0.15">
      <c r="A928" s="79"/>
      <c r="B928" s="77" t="str">
        <f t="shared" ca="1" si="28"/>
        <v/>
      </c>
      <c r="C928" s="11" t="str">
        <f t="shared" ca="1" si="29"/>
        <v/>
      </c>
    </row>
    <row r="929" spans="1:3" x14ac:dyDescent="0.15">
      <c r="A929" s="79"/>
      <c r="B929" s="77" t="str">
        <f t="shared" ca="1" si="28"/>
        <v/>
      </c>
      <c r="C929" s="11" t="str">
        <f t="shared" ca="1" si="29"/>
        <v/>
      </c>
    </row>
    <row r="930" spans="1:3" x14ac:dyDescent="0.15">
      <c r="A930" s="79"/>
      <c r="B930" s="77" t="str">
        <f t="shared" ca="1" si="28"/>
        <v/>
      </c>
      <c r="C930" s="11" t="str">
        <f t="shared" ca="1" si="29"/>
        <v/>
      </c>
    </row>
    <row r="931" spans="1:3" x14ac:dyDescent="0.15">
      <c r="A931" s="79"/>
      <c r="B931" s="77" t="str">
        <f t="shared" ca="1" si="28"/>
        <v/>
      </c>
      <c r="C931" s="11" t="str">
        <f t="shared" ca="1" si="29"/>
        <v/>
      </c>
    </row>
    <row r="932" spans="1:3" x14ac:dyDescent="0.15">
      <c r="A932" s="79"/>
      <c r="B932" s="77" t="str">
        <f t="shared" ca="1" si="28"/>
        <v/>
      </c>
      <c r="C932" s="11" t="str">
        <f t="shared" ca="1" si="29"/>
        <v/>
      </c>
    </row>
    <row r="933" spans="1:3" x14ac:dyDescent="0.15">
      <c r="A933" s="79"/>
      <c r="B933" s="77" t="str">
        <f t="shared" ca="1" si="28"/>
        <v/>
      </c>
      <c r="C933" s="11" t="str">
        <f t="shared" ca="1" si="29"/>
        <v/>
      </c>
    </row>
    <row r="934" spans="1:3" x14ac:dyDescent="0.15">
      <c r="A934" s="79"/>
      <c r="B934" s="77" t="str">
        <f t="shared" ca="1" si="28"/>
        <v/>
      </c>
      <c r="C934" s="11" t="str">
        <f t="shared" ca="1" si="29"/>
        <v/>
      </c>
    </row>
    <row r="935" spans="1:3" x14ac:dyDescent="0.15">
      <c r="A935" s="79"/>
      <c r="B935" s="77" t="str">
        <f t="shared" ca="1" si="28"/>
        <v/>
      </c>
      <c r="C935" s="11" t="str">
        <f t="shared" ca="1" si="29"/>
        <v/>
      </c>
    </row>
    <row r="936" spans="1:3" x14ac:dyDescent="0.15">
      <c r="A936" s="79"/>
      <c r="B936" s="77" t="str">
        <f t="shared" ca="1" si="28"/>
        <v/>
      </c>
      <c r="C936" s="11" t="str">
        <f t="shared" ca="1" si="29"/>
        <v/>
      </c>
    </row>
    <row r="937" spans="1:3" x14ac:dyDescent="0.15">
      <c r="A937" s="79"/>
      <c r="B937" s="77" t="str">
        <f t="shared" ca="1" si="28"/>
        <v/>
      </c>
      <c r="C937" s="11" t="str">
        <f t="shared" ca="1" si="29"/>
        <v/>
      </c>
    </row>
    <row r="938" spans="1:3" x14ac:dyDescent="0.15">
      <c r="A938" s="79"/>
      <c r="B938" s="77" t="str">
        <f t="shared" ca="1" si="28"/>
        <v/>
      </c>
      <c r="C938" s="11" t="str">
        <f t="shared" ca="1" si="29"/>
        <v/>
      </c>
    </row>
    <row r="939" spans="1:3" x14ac:dyDescent="0.15">
      <c r="A939" s="79"/>
      <c r="B939" s="77" t="str">
        <f t="shared" ca="1" si="28"/>
        <v/>
      </c>
      <c r="C939" s="11" t="str">
        <f t="shared" ca="1" si="29"/>
        <v/>
      </c>
    </row>
    <row r="940" spans="1:3" x14ac:dyDescent="0.15">
      <c r="A940" s="79"/>
      <c r="B940" s="77" t="str">
        <f t="shared" ca="1" si="28"/>
        <v/>
      </c>
      <c r="C940" s="11" t="str">
        <f t="shared" ca="1" si="29"/>
        <v/>
      </c>
    </row>
    <row r="941" spans="1:3" x14ac:dyDescent="0.15">
      <c r="A941" s="79"/>
      <c r="B941" s="77" t="str">
        <f t="shared" ca="1" si="28"/>
        <v/>
      </c>
      <c r="C941" s="11" t="str">
        <f t="shared" ca="1" si="29"/>
        <v/>
      </c>
    </row>
    <row r="942" spans="1:3" x14ac:dyDescent="0.15">
      <c r="A942" s="79"/>
      <c r="B942" s="77" t="str">
        <f t="shared" ca="1" si="28"/>
        <v/>
      </c>
      <c r="C942" s="11" t="str">
        <f t="shared" ca="1" si="29"/>
        <v/>
      </c>
    </row>
    <row r="943" spans="1:3" x14ac:dyDescent="0.15">
      <c r="A943" s="79"/>
      <c r="B943" s="77" t="str">
        <f t="shared" ca="1" si="28"/>
        <v/>
      </c>
      <c r="C943" s="11" t="str">
        <f t="shared" ca="1" si="29"/>
        <v/>
      </c>
    </row>
    <row r="944" spans="1:3" x14ac:dyDescent="0.15">
      <c r="A944" s="79"/>
      <c r="B944" s="77" t="str">
        <f t="shared" ca="1" si="28"/>
        <v/>
      </c>
      <c r="C944" s="11" t="str">
        <f t="shared" ca="1" si="29"/>
        <v/>
      </c>
    </row>
    <row r="945" spans="1:3" x14ac:dyDescent="0.15">
      <c r="A945" s="79"/>
      <c r="B945" s="77" t="str">
        <f t="shared" ca="1" si="28"/>
        <v/>
      </c>
      <c r="C945" s="11" t="str">
        <f t="shared" ca="1" si="29"/>
        <v/>
      </c>
    </row>
    <row r="946" spans="1:3" x14ac:dyDescent="0.15">
      <c r="A946" s="79"/>
      <c r="B946" s="77" t="str">
        <f t="shared" ca="1" si="28"/>
        <v/>
      </c>
      <c r="C946" s="11" t="str">
        <f t="shared" ca="1" si="29"/>
        <v/>
      </c>
    </row>
    <row r="947" spans="1:3" x14ac:dyDescent="0.15">
      <c r="A947" s="79"/>
      <c r="B947" s="77" t="str">
        <f t="shared" ca="1" si="28"/>
        <v/>
      </c>
      <c r="C947" s="11" t="str">
        <f t="shared" ca="1" si="29"/>
        <v/>
      </c>
    </row>
    <row r="948" spans="1:3" x14ac:dyDescent="0.15">
      <c r="A948" s="79"/>
      <c r="B948" s="77" t="str">
        <f t="shared" ca="1" si="28"/>
        <v/>
      </c>
      <c r="C948" s="11" t="str">
        <f t="shared" ca="1" si="29"/>
        <v/>
      </c>
    </row>
    <row r="949" spans="1:3" x14ac:dyDescent="0.15">
      <c r="A949" s="79"/>
      <c r="B949" s="77" t="str">
        <f t="shared" ca="1" si="28"/>
        <v/>
      </c>
      <c r="C949" s="11" t="str">
        <f t="shared" ca="1" si="29"/>
        <v/>
      </c>
    </row>
    <row r="950" spans="1:3" x14ac:dyDescent="0.15">
      <c r="A950" s="79"/>
      <c r="B950" s="77" t="str">
        <f t="shared" ca="1" si="28"/>
        <v/>
      </c>
      <c r="C950" s="11" t="str">
        <f t="shared" ca="1" si="29"/>
        <v/>
      </c>
    </row>
    <row r="951" spans="1:3" x14ac:dyDescent="0.15">
      <c r="A951" s="79"/>
      <c r="B951" s="77" t="str">
        <f t="shared" ca="1" si="28"/>
        <v/>
      </c>
      <c r="C951" s="11" t="str">
        <f t="shared" ca="1" si="29"/>
        <v/>
      </c>
    </row>
    <row r="952" spans="1:3" x14ac:dyDescent="0.15">
      <c r="A952" s="79"/>
      <c r="B952" s="77" t="str">
        <f t="shared" ca="1" si="28"/>
        <v/>
      </c>
      <c r="C952" s="11" t="str">
        <f t="shared" ca="1" si="29"/>
        <v/>
      </c>
    </row>
    <row r="953" spans="1:3" x14ac:dyDescent="0.15">
      <c r="A953" s="79"/>
      <c r="B953" s="77" t="str">
        <f t="shared" ca="1" si="28"/>
        <v/>
      </c>
      <c r="C953" s="11" t="str">
        <f t="shared" ca="1" si="29"/>
        <v/>
      </c>
    </row>
    <row r="954" spans="1:3" x14ac:dyDescent="0.15">
      <c r="A954" s="79"/>
      <c r="B954" s="77" t="str">
        <f t="shared" ca="1" si="28"/>
        <v/>
      </c>
      <c r="C954" s="11" t="str">
        <f t="shared" ca="1" si="29"/>
        <v/>
      </c>
    </row>
    <row r="955" spans="1:3" x14ac:dyDescent="0.15">
      <c r="A955" s="79"/>
      <c r="B955" s="77" t="str">
        <f t="shared" ca="1" si="28"/>
        <v/>
      </c>
      <c r="C955" s="11" t="str">
        <f t="shared" ca="1" si="29"/>
        <v/>
      </c>
    </row>
    <row r="956" spans="1:3" x14ac:dyDescent="0.15">
      <c r="A956" s="79"/>
      <c r="B956" s="77" t="str">
        <f t="shared" ca="1" si="28"/>
        <v/>
      </c>
      <c r="C956" s="11" t="str">
        <f t="shared" ca="1" si="29"/>
        <v/>
      </c>
    </row>
    <row r="957" spans="1:3" x14ac:dyDescent="0.15">
      <c r="A957" s="79"/>
      <c r="B957" s="77" t="str">
        <f t="shared" ca="1" si="28"/>
        <v/>
      </c>
      <c r="C957" s="11" t="str">
        <f t="shared" ca="1" si="29"/>
        <v/>
      </c>
    </row>
    <row r="958" spans="1:3" x14ac:dyDescent="0.15">
      <c r="A958" s="79"/>
      <c r="B958" s="77" t="str">
        <f t="shared" ca="1" si="28"/>
        <v/>
      </c>
      <c r="C958" s="11" t="str">
        <f t="shared" ca="1" si="29"/>
        <v/>
      </c>
    </row>
    <row r="959" spans="1:3" x14ac:dyDescent="0.15">
      <c r="A959" s="79"/>
      <c r="B959" s="77" t="str">
        <f t="shared" ca="1" si="28"/>
        <v/>
      </c>
      <c r="C959" s="11" t="str">
        <f t="shared" ca="1" si="29"/>
        <v/>
      </c>
    </row>
    <row r="960" spans="1:3" x14ac:dyDescent="0.15">
      <c r="A960" s="79"/>
      <c r="B960" s="77" t="str">
        <f t="shared" ca="1" si="28"/>
        <v/>
      </c>
      <c r="C960" s="11" t="str">
        <f t="shared" ca="1" si="29"/>
        <v/>
      </c>
    </row>
    <row r="961" spans="1:3" x14ac:dyDescent="0.15">
      <c r="A961" s="79"/>
      <c r="B961" s="77" t="str">
        <f t="shared" ca="1" si="28"/>
        <v/>
      </c>
      <c r="C961" s="11" t="str">
        <f t="shared" ca="1" si="29"/>
        <v/>
      </c>
    </row>
    <row r="962" spans="1:3" x14ac:dyDescent="0.15">
      <c r="A962" s="79"/>
      <c r="B962" s="77" t="str">
        <f t="shared" ref="B962:B1025" ca="1" si="30">IFERROR(VLOOKUP(TEXT(A962,"00000000"),analysis_table_by_barcode,15,FALSE),"")</f>
        <v/>
      </c>
      <c r="C962" s="11" t="str">
        <f t="shared" ref="C962:C1025" ca="1" si="31">IF($B962&lt;&gt;"", IF(VLOOKUP(B962, final_to_ministry_result,2,FALSE)&lt;&gt;"",VLOOKUP(B962, final_to_ministry_result,2,FALSE),""),"")</f>
        <v/>
      </c>
    </row>
    <row r="963" spans="1:3" x14ac:dyDescent="0.15">
      <c r="A963" s="79"/>
      <c r="B963" s="77" t="str">
        <f t="shared" ca="1" si="30"/>
        <v/>
      </c>
      <c r="C963" s="11" t="str">
        <f t="shared" ca="1" si="31"/>
        <v/>
      </c>
    </row>
    <row r="964" spans="1:3" x14ac:dyDescent="0.15">
      <c r="A964" s="79"/>
      <c r="B964" s="77" t="str">
        <f t="shared" ca="1" si="30"/>
        <v/>
      </c>
      <c r="C964" s="11" t="str">
        <f t="shared" ca="1" si="31"/>
        <v/>
      </c>
    </row>
    <row r="965" spans="1:3" x14ac:dyDescent="0.15">
      <c r="A965" s="79"/>
      <c r="B965" s="77" t="str">
        <f t="shared" ca="1" si="30"/>
        <v/>
      </c>
      <c r="C965" s="11" t="str">
        <f t="shared" ca="1" si="31"/>
        <v/>
      </c>
    </row>
    <row r="966" spans="1:3" x14ac:dyDescent="0.15">
      <c r="A966" s="79"/>
      <c r="B966" s="77" t="str">
        <f t="shared" ca="1" si="30"/>
        <v/>
      </c>
      <c r="C966" s="11" t="str">
        <f t="shared" ca="1" si="31"/>
        <v/>
      </c>
    </row>
    <row r="967" spans="1:3" x14ac:dyDescent="0.15">
      <c r="A967" s="79"/>
      <c r="B967" s="77" t="str">
        <f t="shared" ca="1" si="30"/>
        <v/>
      </c>
      <c r="C967" s="11" t="str">
        <f t="shared" ca="1" si="31"/>
        <v/>
      </c>
    </row>
    <row r="968" spans="1:3" x14ac:dyDescent="0.15">
      <c r="A968" s="79"/>
      <c r="B968" s="77" t="str">
        <f t="shared" ca="1" si="30"/>
        <v/>
      </c>
      <c r="C968" s="11" t="str">
        <f t="shared" ca="1" si="31"/>
        <v/>
      </c>
    </row>
    <row r="969" spans="1:3" x14ac:dyDescent="0.15">
      <c r="A969" s="79"/>
      <c r="B969" s="77" t="str">
        <f t="shared" ca="1" si="30"/>
        <v/>
      </c>
      <c r="C969" s="11" t="str">
        <f t="shared" ca="1" si="31"/>
        <v/>
      </c>
    </row>
    <row r="970" spans="1:3" x14ac:dyDescent="0.15">
      <c r="A970" s="79"/>
      <c r="B970" s="77" t="str">
        <f t="shared" ca="1" si="30"/>
        <v/>
      </c>
      <c r="C970" s="11" t="str">
        <f t="shared" ca="1" si="31"/>
        <v/>
      </c>
    </row>
    <row r="971" spans="1:3" x14ac:dyDescent="0.15">
      <c r="A971" s="79"/>
      <c r="B971" s="77" t="str">
        <f t="shared" ca="1" si="30"/>
        <v/>
      </c>
      <c r="C971" s="11" t="str">
        <f t="shared" ca="1" si="31"/>
        <v/>
      </c>
    </row>
    <row r="972" spans="1:3" x14ac:dyDescent="0.15">
      <c r="A972" s="79"/>
      <c r="B972" s="77" t="str">
        <f t="shared" ca="1" si="30"/>
        <v/>
      </c>
      <c r="C972" s="11" t="str">
        <f t="shared" ca="1" si="31"/>
        <v/>
      </c>
    </row>
    <row r="973" spans="1:3" x14ac:dyDescent="0.15">
      <c r="A973" s="79"/>
      <c r="B973" s="77" t="str">
        <f t="shared" ca="1" si="30"/>
        <v/>
      </c>
      <c r="C973" s="11" t="str">
        <f t="shared" ca="1" si="31"/>
        <v/>
      </c>
    </row>
    <row r="974" spans="1:3" x14ac:dyDescent="0.15">
      <c r="A974" s="79"/>
      <c r="B974" s="77" t="str">
        <f t="shared" ca="1" si="30"/>
        <v/>
      </c>
      <c r="C974" s="11" t="str">
        <f t="shared" ca="1" si="31"/>
        <v/>
      </c>
    </row>
    <row r="975" spans="1:3" x14ac:dyDescent="0.15">
      <c r="A975" s="79"/>
      <c r="B975" s="77" t="str">
        <f t="shared" ca="1" si="30"/>
        <v/>
      </c>
      <c r="C975" s="11" t="str">
        <f t="shared" ca="1" si="31"/>
        <v/>
      </c>
    </row>
    <row r="976" spans="1:3" x14ac:dyDescent="0.15">
      <c r="A976" s="79"/>
      <c r="B976" s="77" t="str">
        <f t="shared" ca="1" si="30"/>
        <v/>
      </c>
      <c r="C976" s="11" t="str">
        <f t="shared" ca="1" si="31"/>
        <v/>
      </c>
    </row>
    <row r="977" spans="1:3" x14ac:dyDescent="0.15">
      <c r="A977" s="79"/>
      <c r="B977" s="77" t="str">
        <f t="shared" ca="1" si="30"/>
        <v/>
      </c>
      <c r="C977" s="11" t="str">
        <f t="shared" ca="1" si="31"/>
        <v/>
      </c>
    </row>
    <row r="978" spans="1:3" x14ac:dyDescent="0.15">
      <c r="A978" s="79"/>
      <c r="B978" s="77" t="str">
        <f t="shared" ca="1" si="30"/>
        <v/>
      </c>
      <c r="C978" s="11" t="str">
        <f t="shared" ca="1" si="31"/>
        <v/>
      </c>
    </row>
    <row r="979" spans="1:3" x14ac:dyDescent="0.15">
      <c r="A979" s="79"/>
      <c r="B979" s="77" t="str">
        <f t="shared" ca="1" si="30"/>
        <v/>
      </c>
      <c r="C979" s="11" t="str">
        <f t="shared" ca="1" si="31"/>
        <v/>
      </c>
    </row>
    <row r="980" spans="1:3" x14ac:dyDescent="0.15">
      <c r="A980" s="79"/>
      <c r="B980" s="77" t="str">
        <f t="shared" ca="1" si="30"/>
        <v/>
      </c>
      <c r="C980" s="11" t="str">
        <f t="shared" ca="1" si="31"/>
        <v/>
      </c>
    </row>
    <row r="981" spans="1:3" x14ac:dyDescent="0.15">
      <c r="A981" s="79"/>
      <c r="B981" s="77" t="str">
        <f t="shared" ca="1" si="30"/>
        <v/>
      </c>
      <c r="C981" s="11" t="str">
        <f t="shared" ca="1" si="31"/>
        <v/>
      </c>
    </row>
    <row r="982" spans="1:3" x14ac:dyDescent="0.15">
      <c r="A982" s="79"/>
      <c r="B982" s="77" t="str">
        <f t="shared" ca="1" si="30"/>
        <v/>
      </c>
      <c r="C982" s="11" t="str">
        <f t="shared" ca="1" si="31"/>
        <v/>
      </c>
    </row>
    <row r="983" spans="1:3" x14ac:dyDescent="0.15">
      <c r="A983" s="79"/>
      <c r="B983" s="77" t="str">
        <f t="shared" ca="1" si="30"/>
        <v/>
      </c>
      <c r="C983" s="11" t="str">
        <f t="shared" ca="1" si="31"/>
        <v/>
      </c>
    </row>
    <row r="984" spans="1:3" x14ac:dyDescent="0.15">
      <c r="A984" s="79"/>
      <c r="B984" s="77" t="str">
        <f t="shared" ca="1" si="30"/>
        <v/>
      </c>
      <c r="C984" s="11" t="str">
        <f t="shared" ca="1" si="31"/>
        <v/>
      </c>
    </row>
    <row r="985" spans="1:3" x14ac:dyDescent="0.15">
      <c r="A985" s="79"/>
      <c r="B985" s="77" t="str">
        <f t="shared" ca="1" si="30"/>
        <v/>
      </c>
      <c r="C985" s="11" t="str">
        <f t="shared" ca="1" si="31"/>
        <v/>
      </c>
    </row>
    <row r="986" spans="1:3" x14ac:dyDescent="0.15">
      <c r="A986" s="79"/>
      <c r="B986" s="77" t="str">
        <f t="shared" ca="1" si="30"/>
        <v/>
      </c>
      <c r="C986" s="11" t="str">
        <f t="shared" ca="1" si="31"/>
        <v/>
      </c>
    </row>
    <row r="987" spans="1:3" x14ac:dyDescent="0.15">
      <c r="A987" s="79"/>
      <c r="B987" s="77" t="str">
        <f t="shared" ca="1" si="30"/>
        <v/>
      </c>
      <c r="C987" s="11" t="str">
        <f t="shared" ca="1" si="31"/>
        <v/>
      </c>
    </row>
    <row r="988" spans="1:3" x14ac:dyDescent="0.15">
      <c r="A988" s="79"/>
      <c r="B988" s="77" t="str">
        <f t="shared" ca="1" si="30"/>
        <v/>
      </c>
      <c r="C988" s="11" t="str">
        <f t="shared" ca="1" si="31"/>
        <v/>
      </c>
    </row>
    <row r="989" spans="1:3" x14ac:dyDescent="0.15">
      <c r="A989" s="79"/>
      <c r="B989" s="77" t="str">
        <f t="shared" ca="1" si="30"/>
        <v/>
      </c>
      <c r="C989" s="11" t="str">
        <f t="shared" ca="1" si="31"/>
        <v/>
      </c>
    </row>
    <row r="990" spans="1:3" x14ac:dyDescent="0.15">
      <c r="A990" s="79"/>
      <c r="B990" s="77" t="str">
        <f t="shared" ca="1" si="30"/>
        <v/>
      </c>
      <c r="C990" s="11" t="str">
        <f t="shared" ca="1" si="31"/>
        <v/>
      </c>
    </row>
    <row r="991" spans="1:3" x14ac:dyDescent="0.15">
      <c r="A991" s="79"/>
      <c r="B991" s="77" t="str">
        <f t="shared" ca="1" si="30"/>
        <v/>
      </c>
      <c r="C991" s="11" t="str">
        <f t="shared" ca="1" si="31"/>
        <v/>
      </c>
    </row>
    <row r="992" spans="1:3" x14ac:dyDescent="0.15">
      <c r="A992" s="79"/>
      <c r="B992" s="77" t="str">
        <f t="shared" ca="1" si="30"/>
        <v/>
      </c>
      <c r="C992" s="11" t="str">
        <f t="shared" ca="1" si="31"/>
        <v/>
      </c>
    </row>
    <row r="993" spans="1:3" x14ac:dyDescent="0.15">
      <c r="A993" s="79"/>
      <c r="B993" s="77" t="str">
        <f t="shared" ca="1" si="30"/>
        <v/>
      </c>
      <c r="C993" s="11" t="str">
        <f t="shared" ca="1" si="31"/>
        <v/>
      </c>
    </row>
    <row r="994" spans="1:3" x14ac:dyDescent="0.15">
      <c r="A994" s="79"/>
      <c r="B994" s="77" t="str">
        <f t="shared" ca="1" si="30"/>
        <v/>
      </c>
      <c r="C994" s="11" t="str">
        <f t="shared" ca="1" si="31"/>
        <v/>
      </c>
    </row>
    <row r="995" spans="1:3" x14ac:dyDescent="0.15">
      <c r="A995" s="79"/>
      <c r="B995" s="77" t="str">
        <f t="shared" ca="1" si="30"/>
        <v/>
      </c>
      <c r="C995" s="11" t="str">
        <f t="shared" ca="1" si="31"/>
        <v/>
      </c>
    </row>
    <row r="996" spans="1:3" x14ac:dyDescent="0.15">
      <c r="A996" s="79"/>
      <c r="B996" s="77" t="str">
        <f t="shared" ca="1" si="30"/>
        <v/>
      </c>
      <c r="C996" s="11" t="str">
        <f t="shared" ca="1" si="31"/>
        <v/>
      </c>
    </row>
    <row r="997" spans="1:3" x14ac:dyDescent="0.15">
      <c r="A997" s="79"/>
      <c r="B997" s="77" t="str">
        <f t="shared" ca="1" si="30"/>
        <v/>
      </c>
      <c r="C997" s="11" t="str">
        <f t="shared" ca="1" si="31"/>
        <v/>
      </c>
    </row>
    <row r="998" spans="1:3" x14ac:dyDescent="0.15">
      <c r="A998" s="79"/>
      <c r="B998" s="77" t="str">
        <f t="shared" ca="1" si="30"/>
        <v/>
      </c>
      <c r="C998" s="11" t="str">
        <f t="shared" ca="1" si="31"/>
        <v/>
      </c>
    </row>
    <row r="999" spans="1:3" x14ac:dyDescent="0.15">
      <c r="A999" s="79"/>
      <c r="B999" s="77" t="str">
        <f t="shared" ca="1" si="30"/>
        <v/>
      </c>
      <c r="C999" s="11" t="str">
        <f t="shared" ca="1" si="31"/>
        <v/>
      </c>
    </row>
    <row r="1000" spans="1:3" x14ac:dyDescent="0.15">
      <c r="A1000" s="79"/>
      <c r="B1000" s="77" t="str">
        <f t="shared" ca="1" si="30"/>
        <v/>
      </c>
      <c r="C1000" s="11" t="str">
        <f t="shared" ca="1" si="31"/>
        <v/>
      </c>
    </row>
    <row r="1001" spans="1:3" x14ac:dyDescent="0.15">
      <c r="A1001" s="79"/>
      <c r="B1001" s="77" t="str">
        <f t="shared" ca="1" si="30"/>
        <v/>
      </c>
      <c r="C1001" s="11" t="str">
        <f t="shared" ca="1" si="31"/>
        <v/>
      </c>
    </row>
    <row r="1002" spans="1:3" x14ac:dyDescent="0.15">
      <c r="A1002" s="79"/>
      <c r="B1002" s="77" t="str">
        <f t="shared" ca="1" si="30"/>
        <v/>
      </c>
      <c r="C1002" s="11" t="str">
        <f t="shared" ca="1" si="31"/>
        <v/>
      </c>
    </row>
    <row r="1003" spans="1:3" x14ac:dyDescent="0.15">
      <c r="A1003" s="79"/>
      <c r="B1003" s="77" t="str">
        <f t="shared" ca="1" si="30"/>
        <v/>
      </c>
      <c r="C1003" s="11" t="str">
        <f t="shared" ca="1" si="31"/>
        <v/>
      </c>
    </row>
    <row r="1004" spans="1:3" x14ac:dyDescent="0.15">
      <c r="A1004" s="79"/>
      <c r="B1004" s="77" t="str">
        <f t="shared" ca="1" si="30"/>
        <v/>
      </c>
      <c r="C1004" s="11" t="str">
        <f t="shared" ca="1" si="31"/>
        <v/>
      </c>
    </row>
    <row r="1005" spans="1:3" x14ac:dyDescent="0.15">
      <c r="A1005" s="79"/>
      <c r="B1005" s="77" t="str">
        <f t="shared" ca="1" si="30"/>
        <v/>
      </c>
      <c r="C1005" s="11" t="str">
        <f t="shared" ca="1" si="31"/>
        <v/>
      </c>
    </row>
    <row r="1006" spans="1:3" x14ac:dyDescent="0.15">
      <c r="A1006" s="79"/>
      <c r="B1006" s="77" t="str">
        <f t="shared" ca="1" si="30"/>
        <v/>
      </c>
      <c r="C1006" s="11" t="str">
        <f t="shared" ca="1" si="31"/>
        <v/>
      </c>
    </row>
    <row r="1007" spans="1:3" x14ac:dyDescent="0.15">
      <c r="A1007" s="79"/>
      <c r="B1007" s="77" t="str">
        <f t="shared" ca="1" si="30"/>
        <v/>
      </c>
      <c r="C1007" s="11" t="str">
        <f t="shared" ca="1" si="31"/>
        <v/>
      </c>
    </row>
    <row r="1008" spans="1:3" x14ac:dyDescent="0.15">
      <c r="A1008" s="79"/>
      <c r="B1008" s="77" t="str">
        <f t="shared" ca="1" si="30"/>
        <v/>
      </c>
      <c r="C1008" s="11" t="str">
        <f t="shared" ca="1" si="31"/>
        <v/>
      </c>
    </row>
    <row r="1009" spans="1:3" x14ac:dyDescent="0.15">
      <c r="A1009" s="79"/>
      <c r="B1009" s="77" t="str">
        <f t="shared" ca="1" si="30"/>
        <v/>
      </c>
      <c r="C1009" s="11" t="str">
        <f t="shared" ca="1" si="31"/>
        <v/>
      </c>
    </row>
    <row r="1010" spans="1:3" x14ac:dyDescent="0.15">
      <c r="A1010" s="79"/>
      <c r="B1010" s="77" t="str">
        <f t="shared" ca="1" si="30"/>
        <v/>
      </c>
      <c r="C1010" s="11" t="str">
        <f t="shared" ca="1" si="31"/>
        <v/>
      </c>
    </row>
    <row r="1011" spans="1:3" x14ac:dyDescent="0.15">
      <c r="A1011" s="79"/>
      <c r="B1011" s="77" t="str">
        <f t="shared" ca="1" si="30"/>
        <v/>
      </c>
      <c r="C1011" s="11" t="str">
        <f t="shared" ca="1" si="31"/>
        <v/>
      </c>
    </row>
    <row r="1012" spans="1:3" x14ac:dyDescent="0.15">
      <c r="A1012" s="79"/>
      <c r="B1012" s="77" t="str">
        <f t="shared" ca="1" si="30"/>
        <v/>
      </c>
      <c r="C1012" s="11" t="str">
        <f t="shared" ca="1" si="31"/>
        <v/>
      </c>
    </row>
    <row r="1013" spans="1:3" x14ac:dyDescent="0.15">
      <c r="A1013" s="79"/>
      <c r="B1013" s="77" t="str">
        <f t="shared" ca="1" si="30"/>
        <v/>
      </c>
      <c r="C1013" s="11" t="str">
        <f t="shared" ca="1" si="31"/>
        <v/>
      </c>
    </row>
    <row r="1014" spans="1:3" x14ac:dyDescent="0.15">
      <c r="A1014" s="79"/>
      <c r="B1014" s="77" t="str">
        <f t="shared" ca="1" si="30"/>
        <v/>
      </c>
      <c r="C1014" s="11" t="str">
        <f t="shared" ca="1" si="31"/>
        <v/>
      </c>
    </row>
    <row r="1015" spans="1:3" x14ac:dyDescent="0.15">
      <c r="A1015" s="79"/>
      <c r="B1015" s="77" t="str">
        <f t="shared" ca="1" si="30"/>
        <v/>
      </c>
      <c r="C1015" s="11" t="str">
        <f t="shared" ca="1" si="31"/>
        <v/>
      </c>
    </row>
    <row r="1016" spans="1:3" x14ac:dyDescent="0.15">
      <c r="A1016" s="79"/>
      <c r="B1016" s="77" t="str">
        <f t="shared" ca="1" si="30"/>
        <v/>
      </c>
      <c r="C1016" s="11" t="str">
        <f t="shared" ca="1" si="31"/>
        <v/>
      </c>
    </row>
    <row r="1017" spans="1:3" x14ac:dyDescent="0.15">
      <c r="A1017" s="79"/>
      <c r="B1017" s="77" t="str">
        <f t="shared" ca="1" si="30"/>
        <v/>
      </c>
      <c r="C1017" s="11" t="str">
        <f t="shared" ca="1" si="31"/>
        <v/>
      </c>
    </row>
    <row r="1018" spans="1:3" x14ac:dyDescent="0.15">
      <c r="A1018" s="79"/>
      <c r="B1018" s="77" t="str">
        <f t="shared" ca="1" si="30"/>
        <v/>
      </c>
      <c r="C1018" s="11" t="str">
        <f t="shared" ca="1" si="31"/>
        <v/>
      </c>
    </row>
    <row r="1019" spans="1:3" x14ac:dyDescent="0.15">
      <c r="A1019" s="79"/>
      <c r="B1019" s="77" t="str">
        <f t="shared" ca="1" si="30"/>
        <v/>
      </c>
      <c r="C1019" s="11" t="str">
        <f t="shared" ca="1" si="31"/>
        <v/>
      </c>
    </row>
    <row r="1020" spans="1:3" x14ac:dyDescent="0.15">
      <c r="A1020" s="79"/>
      <c r="B1020" s="77" t="str">
        <f t="shared" ca="1" si="30"/>
        <v/>
      </c>
      <c r="C1020" s="11" t="str">
        <f t="shared" ca="1" si="31"/>
        <v/>
      </c>
    </row>
    <row r="1021" spans="1:3" x14ac:dyDescent="0.15">
      <c r="A1021" s="79"/>
      <c r="B1021" s="77" t="str">
        <f t="shared" ca="1" si="30"/>
        <v/>
      </c>
      <c r="C1021" s="11" t="str">
        <f t="shared" ca="1" si="31"/>
        <v/>
      </c>
    </row>
    <row r="1022" spans="1:3" x14ac:dyDescent="0.15">
      <c r="A1022" s="79"/>
      <c r="B1022" s="77" t="str">
        <f t="shared" ca="1" si="30"/>
        <v/>
      </c>
      <c r="C1022" s="11" t="str">
        <f t="shared" ca="1" si="31"/>
        <v/>
      </c>
    </row>
    <row r="1023" spans="1:3" x14ac:dyDescent="0.15">
      <c r="A1023" s="79"/>
      <c r="B1023" s="77" t="str">
        <f t="shared" ca="1" si="30"/>
        <v/>
      </c>
      <c r="C1023" s="11" t="str">
        <f t="shared" ca="1" si="31"/>
        <v/>
      </c>
    </row>
    <row r="1024" spans="1:3" x14ac:dyDescent="0.15">
      <c r="A1024" s="79"/>
      <c r="B1024" s="77" t="str">
        <f t="shared" ca="1" si="30"/>
        <v/>
      </c>
      <c r="C1024" s="11" t="str">
        <f t="shared" ca="1" si="31"/>
        <v/>
      </c>
    </row>
    <row r="1025" spans="1:3" x14ac:dyDescent="0.15">
      <c r="A1025" s="79"/>
      <c r="B1025" s="77" t="str">
        <f t="shared" ca="1" si="30"/>
        <v/>
      </c>
      <c r="C1025" s="11" t="str">
        <f t="shared" ca="1" si="31"/>
        <v/>
      </c>
    </row>
    <row r="1026" spans="1:3" x14ac:dyDescent="0.15">
      <c r="A1026" s="79"/>
      <c r="B1026" s="77" t="str">
        <f t="shared" ref="B1026:B1089" ca="1" si="32">IFERROR(VLOOKUP(TEXT(A1026,"00000000"),analysis_table_by_barcode,15,FALSE),"")</f>
        <v/>
      </c>
      <c r="C1026" s="11" t="str">
        <f t="shared" ref="C1026:C1089" ca="1" si="33">IF($B1026&lt;&gt;"", IF(VLOOKUP(B1026, final_to_ministry_result,2,FALSE)&lt;&gt;"",VLOOKUP(B1026, final_to_ministry_result,2,FALSE),""),"")</f>
        <v/>
      </c>
    </row>
    <row r="1027" spans="1:3" x14ac:dyDescent="0.15">
      <c r="A1027" s="79"/>
      <c r="B1027" s="77" t="str">
        <f t="shared" ca="1" si="32"/>
        <v/>
      </c>
      <c r="C1027" s="11" t="str">
        <f t="shared" ca="1" si="33"/>
        <v/>
      </c>
    </row>
    <row r="1028" spans="1:3" x14ac:dyDescent="0.15">
      <c r="A1028" s="79"/>
      <c r="B1028" s="77" t="str">
        <f t="shared" ca="1" si="32"/>
        <v/>
      </c>
      <c r="C1028" s="11" t="str">
        <f t="shared" ca="1" si="33"/>
        <v/>
      </c>
    </row>
    <row r="1029" spans="1:3" x14ac:dyDescent="0.15">
      <c r="A1029" s="79"/>
      <c r="B1029" s="77" t="str">
        <f t="shared" ca="1" si="32"/>
        <v/>
      </c>
      <c r="C1029" s="11" t="str">
        <f t="shared" ca="1" si="33"/>
        <v/>
      </c>
    </row>
    <row r="1030" spans="1:3" x14ac:dyDescent="0.15">
      <c r="A1030" s="79"/>
      <c r="B1030" s="77" t="str">
        <f t="shared" ca="1" si="32"/>
        <v/>
      </c>
      <c r="C1030" s="11" t="str">
        <f t="shared" ca="1" si="33"/>
        <v/>
      </c>
    </row>
    <row r="1031" spans="1:3" x14ac:dyDescent="0.15">
      <c r="A1031" s="79"/>
      <c r="B1031" s="77" t="str">
        <f t="shared" ca="1" si="32"/>
        <v/>
      </c>
      <c r="C1031" s="11" t="str">
        <f t="shared" ca="1" si="33"/>
        <v/>
      </c>
    </row>
    <row r="1032" spans="1:3" x14ac:dyDescent="0.15">
      <c r="A1032" s="79"/>
      <c r="B1032" s="77" t="str">
        <f t="shared" ca="1" si="32"/>
        <v/>
      </c>
      <c r="C1032" s="11" t="str">
        <f t="shared" ca="1" si="33"/>
        <v/>
      </c>
    </row>
    <row r="1033" spans="1:3" x14ac:dyDescent="0.15">
      <c r="A1033" s="79"/>
      <c r="B1033" s="77" t="str">
        <f t="shared" ca="1" si="32"/>
        <v/>
      </c>
      <c r="C1033" s="11" t="str">
        <f t="shared" ca="1" si="33"/>
        <v/>
      </c>
    </row>
    <row r="1034" spans="1:3" x14ac:dyDescent="0.15">
      <c r="A1034" s="79"/>
      <c r="B1034" s="77" t="str">
        <f t="shared" ca="1" si="32"/>
        <v/>
      </c>
      <c r="C1034" s="11" t="str">
        <f t="shared" ca="1" si="33"/>
        <v/>
      </c>
    </row>
    <row r="1035" spans="1:3" x14ac:dyDescent="0.15">
      <c r="A1035" s="79"/>
      <c r="B1035" s="77" t="str">
        <f t="shared" ca="1" si="32"/>
        <v/>
      </c>
      <c r="C1035" s="11" t="str">
        <f t="shared" ca="1" si="33"/>
        <v/>
      </c>
    </row>
    <row r="1036" spans="1:3" x14ac:dyDescent="0.15">
      <c r="A1036" s="79"/>
      <c r="B1036" s="77" t="str">
        <f t="shared" ca="1" si="32"/>
        <v/>
      </c>
      <c r="C1036" s="11" t="str">
        <f t="shared" ca="1" si="33"/>
        <v/>
      </c>
    </row>
    <row r="1037" spans="1:3" x14ac:dyDescent="0.15">
      <c r="A1037" s="79"/>
      <c r="B1037" s="77" t="str">
        <f t="shared" ca="1" si="32"/>
        <v/>
      </c>
      <c r="C1037" s="11" t="str">
        <f t="shared" ca="1" si="33"/>
        <v/>
      </c>
    </row>
    <row r="1038" spans="1:3" x14ac:dyDescent="0.15">
      <c r="A1038" s="79"/>
      <c r="B1038" s="77" t="str">
        <f t="shared" ca="1" si="32"/>
        <v/>
      </c>
      <c r="C1038" s="11" t="str">
        <f t="shared" ca="1" si="33"/>
        <v/>
      </c>
    </row>
    <row r="1039" spans="1:3" x14ac:dyDescent="0.15">
      <c r="A1039" s="79"/>
      <c r="B1039" s="77" t="str">
        <f t="shared" ca="1" si="32"/>
        <v/>
      </c>
      <c r="C1039" s="11" t="str">
        <f t="shared" ca="1" si="33"/>
        <v/>
      </c>
    </row>
    <row r="1040" spans="1:3" x14ac:dyDescent="0.15">
      <c r="A1040" s="79"/>
      <c r="B1040" s="77" t="str">
        <f t="shared" ca="1" si="32"/>
        <v/>
      </c>
      <c r="C1040" s="11" t="str">
        <f t="shared" ca="1" si="33"/>
        <v/>
      </c>
    </row>
    <row r="1041" spans="1:3" x14ac:dyDescent="0.15">
      <c r="A1041" s="79"/>
      <c r="B1041" s="77" t="str">
        <f t="shared" ca="1" si="32"/>
        <v/>
      </c>
      <c r="C1041" s="11" t="str">
        <f t="shared" ca="1" si="33"/>
        <v/>
      </c>
    </row>
    <row r="1042" spans="1:3" x14ac:dyDescent="0.15">
      <c r="A1042" s="79"/>
      <c r="B1042" s="77" t="str">
        <f t="shared" ca="1" si="32"/>
        <v/>
      </c>
      <c r="C1042" s="11" t="str">
        <f t="shared" ca="1" si="33"/>
        <v/>
      </c>
    </row>
    <row r="1043" spans="1:3" x14ac:dyDescent="0.15">
      <c r="A1043" s="79"/>
      <c r="B1043" s="77" t="str">
        <f t="shared" ca="1" si="32"/>
        <v/>
      </c>
      <c r="C1043" s="11" t="str">
        <f t="shared" ca="1" si="33"/>
        <v/>
      </c>
    </row>
    <row r="1044" spans="1:3" x14ac:dyDescent="0.15">
      <c r="A1044" s="79"/>
      <c r="B1044" s="77" t="str">
        <f t="shared" ca="1" si="32"/>
        <v/>
      </c>
      <c r="C1044" s="11" t="str">
        <f t="shared" ca="1" si="33"/>
        <v/>
      </c>
    </row>
    <row r="1045" spans="1:3" x14ac:dyDescent="0.15">
      <c r="A1045" s="79"/>
      <c r="B1045" s="77" t="str">
        <f t="shared" ca="1" si="32"/>
        <v/>
      </c>
      <c r="C1045" s="11" t="str">
        <f t="shared" ca="1" si="33"/>
        <v/>
      </c>
    </row>
    <row r="1046" spans="1:3" x14ac:dyDescent="0.15">
      <c r="A1046" s="79"/>
      <c r="B1046" s="77" t="str">
        <f t="shared" ca="1" si="32"/>
        <v/>
      </c>
      <c r="C1046" s="11" t="str">
        <f t="shared" ca="1" si="33"/>
        <v/>
      </c>
    </row>
    <row r="1047" spans="1:3" x14ac:dyDescent="0.15">
      <c r="A1047" s="79"/>
      <c r="B1047" s="77" t="str">
        <f t="shared" ca="1" si="32"/>
        <v/>
      </c>
      <c r="C1047" s="11" t="str">
        <f t="shared" ca="1" si="33"/>
        <v/>
      </c>
    </row>
    <row r="1048" spans="1:3" x14ac:dyDescent="0.15">
      <c r="A1048" s="79"/>
      <c r="B1048" s="77" t="str">
        <f t="shared" ca="1" si="32"/>
        <v/>
      </c>
      <c r="C1048" s="11" t="str">
        <f t="shared" ca="1" si="33"/>
        <v/>
      </c>
    </row>
    <row r="1049" spans="1:3" x14ac:dyDescent="0.15">
      <c r="A1049" s="79"/>
      <c r="B1049" s="77" t="str">
        <f t="shared" ca="1" si="32"/>
        <v/>
      </c>
      <c r="C1049" s="11" t="str">
        <f t="shared" ca="1" si="33"/>
        <v/>
      </c>
    </row>
    <row r="1050" spans="1:3" x14ac:dyDescent="0.15">
      <c r="A1050" s="79"/>
      <c r="B1050" s="77" t="str">
        <f t="shared" ca="1" si="32"/>
        <v/>
      </c>
      <c r="C1050" s="11" t="str">
        <f t="shared" ca="1" si="33"/>
        <v/>
      </c>
    </row>
    <row r="1051" spans="1:3" x14ac:dyDescent="0.15">
      <c r="A1051" s="79"/>
      <c r="B1051" s="77" t="str">
        <f t="shared" ca="1" si="32"/>
        <v/>
      </c>
      <c r="C1051" s="11" t="str">
        <f t="shared" ca="1" si="33"/>
        <v/>
      </c>
    </row>
    <row r="1052" spans="1:3" x14ac:dyDescent="0.15">
      <c r="A1052" s="79"/>
      <c r="B1052" s="77" t="str">
        <f t="shared" ca="1" si="32"/>
        <v/>
      </c>
      <c r="C1052" s="11" t="str">
        <f t="shared" ca="1" si="33"/>
        <v/>
      </c>
    </row>
    <row r="1053" spans="1:3" x14ac:dyDescent="0.15">
      <c r="A1053" s="79"/>
      <c r="B1053" s="77" t="str">
        <f t="shared" ca="1" si="32"/>
        <v/>
      </c>
      <c r="C1053" s="11" t="str">
        <f t="shared" ca="1" si="33"/>
        <v/>
      </c>
    </row>
    <row r="1054" spans="1:3" x14ac:dyDescent="0.15">
      <c r="A1054" s="79"/>
      <c r="B1054" s="77" t="str">
        <f t="shared" ca="1" si="32"/>
        <v/>
      </c>
      <c r="C1054" s="11" t="str">
        <f t="shared" ca="1" si="33"/>
        <v/>
      </c>
    </row>
    <row r="1055" spans="1:3" x14ac:dyDescent="0.15">
      <c r="A1055" s="79"/>
      <c r="B1055" s="77" t="str">
        <f t="shared" ca="1" si="32"/>
        <v/>
      </c>
      <c r="C1055" s="11" t="str">
        <f t="shared" ca="1" si="33"/>
        <v/>
      </c>
    </row>
    <row r="1056" spans="1:3" x14ac:dyDescent="0.15">
      <c r="A1056" s="79"/>
      <c r="B1056" s="77" t="str">
        <f t="shared" ca="1" si="32"/>
        <v/>
      </c>
      <c r="C1056" s="11" t="str">
        <f t="shared" ca="1" si="33"/>
        <v/>
      </c>
    </row>
    <row r="1057" spans="1:3" x14ac:dyDescent="0.15">
      <c r="A1057" s="79"/>
      <c r="B1057" s="77" t="str">
        <f t="shared" ca="1" si="32"/>
        <v/>
      </c>
      <c r="C1057" s="11" t="str">
        <f t="shared" ca="1" si="33"/>
        <v/>
      </c>
    </row>
    <row r="1058" spans="1:3" x14ac:dyDescent="0.15">
      <c r="A1058" s="79"/>
      <c r="B1058" s="77" t="str">
        <f t="shared" ca="1" si="32"/>
        <v/>
      </c>
      <c r="C1058" s="11" t="str">
        <f t="shared" ca="1" si="33"/>
        <v/>
      </c>
    </row>
    <row r="1059" spans="1:3" x14ac:dyDescent="0.15">
      <c r="A1059" s="79"/>
      <c r="B1059" s="77" t="str">
        <f t="shared" ca="1" si="32"/>
        <v/>
      </c>
      <c r="C1059" s="11" t="str">
        <f t="shared" ca="1" si="33"/>
        <v/>
      </c>
    </row>
    <row r="1060" spans="1:3" x14ac:dyDescent="0.15">
      <c r="A1060" s="79"/>
      <c r="B1060" s="77" t="str">
        <f t="shared" ca="1" si="32"/>
        <v/>
      </c>
      <c r="C1060" s="11" t="str">
        <f t="shared" ca="1" si="33"/>
        <v/>
      </c>
    </row>
    <row r="1061" spans="1:3" x14ac:dyDescent="0.15">
      <c r="A1061" s="79"/>
      <c r="B1061" s="77" t="str">
        <f t="shared" ca="1" si="32"/>
        <v/>
      </c>
      <c r="C1061" s="11" t="str">
        <f t="shared" ca="1" si="33"/>
        <v/>
      </c>
    </row>
    <row r="1062" spans="1:3" x14ac:dyDescent="0.15">
      <c r="A1062" s="79"/>
      <c r="B1062" s="77" t="str">
        <f t="shared" ca="1" si="32"/>
        <v/>
      </c>
      <c r="C1062" s="11" t="str">
        <f t="shared" ca="1" si="33"/>
        <v/>
      </c>
    </row>
    <row r="1063" spans="1:3" x14ac:dyDescent="0.15">
      <c r="A1063" s="79"/>
      <c r="B1063" s="77" t="str">
        <f t="shared" ca="1" si="32"/>
        <v/>
      </c>
      <c r="C1063" s="11" t="str">
        <f t="shared" ca="1" si="33"/>
        <v/>
      </c>
    </row>
    <row r="1064" spans="1:3" x14ac:dyDescent="0.15">
      <c r="A1064" s="79"/>
      <c r="B1064" s="77" t="str">
        <f t="shared" ca="1" si="32"/>
        <v/>
      </c>
      <c r="C1064" s="11" t="str">
        <f t="shared" ca="1" si="33"/>
        <v/>
      </c>
    </row>
    <row r="1065" spans="1:3" x14ac:dyDescent="0.15">
      <c r="A1065" s="79"/>
      <c r="B1065" s="77" t="str">
        <f t="shared" ca="1" si="32"/>
        <v/>
      </c>
      <c r="C1065" s="11" t="str">
        <f t="shared" ca="1" si="33"/>
        <v/>
      </c>
    </row>
    <row r="1066" spans="1:3" x14ac:dyDescent="0.15">
      <c r="A1066" s="79"/>
      <c r="B1066" s="77" t="str">
        <f t="shared" ca="1" si="32"/>
        <v/>
      </c>
      <c r="C1066" s="11" t="str">
        <f t="shared" ca="1" si="33"/>
        <v/>
      </c>
    </row>
    <row r="1067" spans="1:3" x14ac:dyDescent="0.15">
      <c r="A1067" s="79"/>
      <c r="B1067" s="77" t="str">
        <f t="shared" ca="1" si="32"/>
        <v/>
      </c>
      <c r="C1067" s="11" t="str">
        <f t="shared" ca="1" si="33"/>
        <v/>
      </c>
    </row>
    <row r="1068" spans="1:3" x14ac:dyDescent="0.15">
      <c r="A1068" s="79"/>
      <c r="B1068" s="77" t="str">
        <f t="shared" ca="1" si="32"/>
        <v/>
      </c>
      <c r="C1068" s="11" t="str">
        <f t="shared" ca="1" si="33"/>
        <v/>
      </c>
    </row>
    <row r="1069" spans="1:3" x14ac:dyDescent="0.15">
      <c r="A1069" s="79"/>
      <c r="B1069" s="77" t="str">
        <f t="shared" ca="1" si="32"/>
        <v/>
      </c>
      <c r="C1069" s="11" t="str">
        <f t="shared" ca="1" si="33"/>
        <v/>
      </c>
    </row>
    <row r="1070" spans="1:3" x14ac:dyDescent="0.15">
      <c r="A1070" s="79"/>
      <c r="B1070" s="77" t="str">
        <f t="shared" ca="1" si="32"/>
        <v/>
      </c>
      <c r="C1070" s="11" t="str">
        <f t="shared" ca="1" si="33"/>
        <v/>
      </c>
    </row>
    <row r="1071" spans="1:3" x14ac:dyDescent="0.15">
      <c r="A1071" s="79"/>
      <c r="B1071" s="77" t="str">
        <f t="shared" ca="1" si="32"/>
        <v/>
      </c>
      <c r="C1071" s="11" t="str">
        <f t="shared" ca="1" si="33"/>
        <v/>
      </c>
    </row>
    <row r="1072" spans="1:3" x14ac:dyDescent="0.15">
      <c r="A1072" s="79"/>
      <c r="B1072" s="77" t="str">
        <f t="shared" ca="1" si="32"/>
        <v/>
      </c>
      <c r="C1072" s="11" t="str">
        <f t="shared" ca="1" si="33"/>
        <v/>
      </c>
    </row>
    <row r="1073" spans="1:3" x14ac:dyDescent="0.15">
      <c r="A1073" s="79"/>
      <c r="B1073" s="77" t="str">
        <f t="shared" ca="1" si="32"/>
        <v/>
      </c>
      <c r="C1073" s="11" t="str">
        <f t="shared" ca="1" si="33"/>
        <v/>
      </c>
    </row>
    <row r="1074" spans="1:3" x14ac:dyDescent="0.15">
      <c r="A1074" s="79"/>
      <c r="B1074" s="77" t="str">
        <f t="shared" ca="1" si="32"/>
        <v/>
      </c>
      <c r="C1074" s="11" t="str">
        <f t="shared" ca="1" si="33"/>
        <v/>
      </c>
    </row>
    <row r="1075" spans="1:3" x14ac:dyDescent="0.15">
      <c r="A1075" s="79"/>
      <c r="B1075" s="77" t="str">
        <f t="shared" ca="1" si="32"/>
        <v/>
      </c>
      <c r="C1075" s="11" t="str">
        <f t="shared" ca="1" si="33"/>
        <v/>
      </c>
    </row>
    <row r="1076" spans="1:3" x14ac:dyDescent="0.15">
      <c r="A1076" s="79"/>
      <c r="B1076" s="77" t="str">
        <f t="shared" ca="1" si="32"/>
        <v/>
      </c>
      <c r="C1076" s="11" t="str">
        <f t="shared" ca="1" si="33"/>
        <v/>
      </c>
    </row>
    <row r="1077" spans="1:3" x14ac:dyDescent="0.15">
      <c r="A1077" s="79"/>
      <c r="B1077" s="77" t="str">
        <f t="shared" ca="1" si="32"/>
        <v/>
      </c>
      <c r="C1077" s="11" t="str">
        <f t="shared" ca="1" si="33"/>
        <v/>
      </c>
    </row>
    <row r="1078" spans="1:3" x14ac:dyDescent="0.15">
      <c r="A1078" s="79"/>
      <c r="B1078" s="77" t="str">
        <f t="shared" ca="1" si="32"/>
        <v/>
      </c>
      <c r="C1078" s="11" t="str">
        <f t="shared" ca="1" si="33"/>
        <v/>
      </c>
    </row>
    <row r="1079" spans="1:3" x14ac:dyDescent="0.15">
      <c r="A1079" s="79"/>
      <c r="B1079" s="77" t="str">
        <f t="shared" ca="1" si="32"/>
        <v/>
      </c>
      <c r="C1079" s="11" t="str">
        <f t="shared" ca="1" si="33"/>
        <v/>
      </c>
    </row>
    <row r="1080" spans="1:3" x14ac:dyDescent="0.15">
      <c r="A1080" s="79"/>
      <c r="B1080" s="77" t="str">
        <f t="shared" ca="1" si="32"/>
        <v/>
      </c>
      <c r="C1080" s="11" t="str">
        <f t="shared" ca="1" si="33"/>
        <v/>
      </c>
    </row>
    <row r="1081" spans="1:3" x14ac:dyDescent="0.15">
      <c r="A1081" s="79"/>
      <c r="B1081" s="77" t="str">
        <f t="shared" ca="1" si="32"/>
        <v/>
      </c>
      <c r="C1081" s="11" t="str">
        <f t="shared" ca="1" si="33"/>
        <v/>
      </c>
    </row>
    <row r="1082" spans="1:3" x14ac:dyDescent="0.15">
      <c r="A1082" s="79"/>
      <c r="B1082" s="77" t="str">
        <f t="shared" ca="1" si="32"/>
        <v/>
      </c>
      <c r="C1082" s="11" t="str">
        <f t="shared" ca="1" si="33"/>
        <v/>
      </c>
    </row>
    <row r="1083" spans="1:3" x14ac:dyDescent="0.15">
      <c r="A1083" s="79"/>
      <c r="B1083" s="77" t="str">
        <f t="shared" ca="1" si="32"/>
        <v/>
      </c>
      <c r="C1083" s="11" t="str">
        <f t="shared" ca="1" si="33"/>
        <v/>
      </c>
    </row>
    <row r="1084" spans="1:3" x14ac:dyDescent="0.15">
      <c r="A1084" s="79"/>
      <c r="B1084" s="77" t="str">
        <f t="shared" ca="1" si="32"/>
        <v/>
      </c>
      <c r="C1084" s="11" t="str">
        <f t="shared" ca="1" si="33"/>
        <v/>
      </c>
    </row>
    <row r="1085" spans="1:3" x14ac:dyDescent="0.15">
      <c r="A1085" s="79"/>
      <c r="B1085" s="77" t="str">
        <f t="shared" ca="1" si="32"/>
        <v/>
      </c>
      <c r="C1085" s="11" t="str">
        <f t="shared" ca="1" si="33"/>
        <v/>
      </c>
    </row>
    <row r="1086" spans="1:3" x14ac:dyDescent="0.15">
      <c r="A1086" s="79"/>
      <c r="B1086" s="77" t="str">
        <f t="shared" ca="1" si="32"/>
        <v/>
      </c>
      <c r="C1086" s="11" t="str">
        <f t="shared" ca="1" si="33"/>
        <v/>
      </c>
    </row>
    <row r="1087" spans="1:3" x14ac:dyDescent="0.15">
      <c r="A1087" s="79"/>
      <c r="B1087" s="77" t="str">
        <f t="shared" ca="1" si="32"/>
        <v/>
      </c>
      <c r="C1087" s="11" t="str">
        <f t="shared" ca="1" si="33"/>
        <v/>
      </c>
    </row>
    <row r="1088" spans="1:3" x14ac:dyDescent="0.15">
      <c r="A1088" s="79"/>
      <c r="B1088" s="77" t="str">
        <f t="shared" ca="1" si="32"/>
        <v/>
      </c>
      <c r="C1088" s="11" t="str">
        <f t="shared" ca="1" si="33"/>
        <v/>
      </c>
    </row>
    <row r="1089" spans="1:3" x14ac:dyDescent="0.15">
      <c r="A1089" s="79"/>
      <c r="B1089" s="77" t="str">
        <f t="shared" ca="1" si="32"/>
        <v/>
      </c>
      <c r="C1089" s="11" t="str">
        <f t="shared" ca="1" si="33"/>
        <v/>
      </c>
    </row>
    <row r="1090" spans="1:3" x14ac:dyDescent="0.15">
      <c r="A1090" s="79"/>
      <c r="B1090" s="77" t="str">
        <f t="shared" ref="B1090:B1153" ca="1" si="34">IFERROR(VLOOKUP(TEXT(A1090,"00000000"),analysis_table_by_barcode,15,FALSE),"")</f>
        <v/>
      </c>
      <c r="C1090" s="11" t="str">
        <f t="shared" ref="C1090:C1153" ca="1" si="35">IF($B1090&lt;&gt;"", IF(VLOOKUP(B1090, final_to_ministry_result,2,FALSE)&lt;&gt;"",VLOOKUP(B1090, final_to_ministry_result,2,FALSE),""),"")</f>
        <v/>
      </c>
    </row>
    <row r="1091" spans="1:3" x14ac:dyDescent="0.15">
      <c r="A1091" s="79"/>
      <c r="B1091" s="77" t="str">
        <f t="shared" ca="1" si="34"/>
        <v/>
      </c>
      <c r="C1091" s="11" t="str">
        <f t="shared" ca="1" si="35"/>
        <v/>
      </c>
    </row>
    <row r="1092" spans="1:3" x14ac:dyDescent="0.15">
      <c r="A1092" s="79"/>
      <c r="B1092" s="77" t="str">
        <f t="shared" ca="1" si="34"/>
        <v/>
      </c>
      <c r="C1092" s="11" t="str">
        <f t="shared" ca="1" si="35"/>
        <v/>
      </c>
    </row>
    <row r="1093" spans="1:3" x14ac:dyDescent="0.15">
      <c r="A1093" s="79"/>
      <c r="B1093" s="77" t="str">
        <f t="shared" ca="1" si="34"/>
        <v/>
      </c>
      <c r="C1093" s="11" t="str">
        <f t="shared" ca="1" si="35"/>
        <v/>
      </c>
    </row>
    <row r="1094" spans="1:3" x14ac:dyDescent="0.15">
      <c r="A1094" s="79"/>
      <c r="B1094" s="77" t="str">
        <f t="shared" ca="1" si="34"/>
        <v/>
      </c>
      <c r="C1094" s="11" t="str">
        <f t="shared" ca="1" si="35"/>
        <v/>
      </c>
    </row>
    <row r="1095" spans="1:3" x14ac:dyDescent="0.15">
      <c r="A1095" s="79"/>
      <c r="B1095" s="77" t="str">
        <f t="shared" ca="1" si="34"/>
        <v/>
      </c>
      <c r="C1095" s="11" t="str">
        <f t="shared" ca="1" si="35"/>
        <v/>
      </c>
    </row>
    <row r="1096" spans="1:3" x14ac:dyDescent="0.15">
      <c r="A1096" s="79"/>
      <c r="B1096" s="77" t="str">
        <f t="shared" ca="1" si="34"/>
        <v/>
      </c>
      <c r="C1096" s="11" t="str">
        <f t="shared" ca="1" si="35"/>
        <v/>
      </c>
    </row>
    <row r="1097" spans="1:3" x14ac:dyDescent="0.15">
      <c r="A1097" s="79"/>
      <c r="B1097" s="77" t="str">
        <f t="shared" ca="1" si="34"/>
        <v/>
      </c>
      <c r="C1097" s="11" t="str">
        <f t="shared" ca="1" si="35"/>
        <v/>
      </c>
    </row>
    <row r="1098" spans="1:3" x14ac:dyDescent="0.15">
      <c r="A1098" s="79"/>
      <c r="B1098" s="77" t="str">
        <f t="shared" ca="1" si="34"/>
        <v/>
      </c>
      <c r="C1098" s="11" t="str">
        <f t="shared" ca="1" si="35"/>
        <v/>
      </c>
    </row>
    <row r="1099" spans="1:3" x14ac:dyDescent="0.15">
      <c r="A1099" s="79"/>
      <c r="B1099" s="77" t="str">
        <f t="shared" ca="1" si="34"/>
        <v/>
      </c>
      <c r="C1099" s="11" t="str">
        <f t="shared" ca="1" si="35"/>
        <v/>
      </c>
    </row>
    <row r="1100" spans="1:3" x14ac:dyDescent="0.15">
      <c r="A1100" s="79"/>
      <c r="B1100" s="77" t="str">
        <f t="shared" ca="1" si="34"/>
        <v/>
      </c>
      <c r="C1100" s="11" t="str">
        <f t="shared" ca="1" si="35"/>
        <v/>
      </c>
    </row>
    <row r="1101" spans="1:3" x14ac:dyDescent="0.15">
      <c r="A1101" s="79"/>
      <c r="B1101" s="77" t="str">
        <f t="shared" ca="1" si="34"/>
        <v/>
      </c>
      <c r="C1101" s="11" t="str">
        <f t="shared" ca="1" si="35"/>
        <v/>
      </c>
    </row>
    <row r="1102" spans="1:3" x14ac:dyDescent="0.15">
      <c r="A1102" s="79"/>
      <c r="B1102" s="77" t="str">
        <f t="shared" ca="1" si="34"/>
        <v/>
      </c>
      <c r="C1102" s="11" t="str">
        <f t="shared" ca="1" si="35"/>
        <v/>
      </c>
    </row>
    <row r="1103" spans="1:3" x14ac:dyDescent="0.15">
      <c r="A1103" s="79"/>
      <c r="B1103" s="77" t="str">
        <f t="shared" ca="1" si="34"/>
        <v/>
      </c>
      <c r="C1103" s="11" t="str">
        <f t="shared" ca="1" si="35"/>
        <v/>
      </c>
    </row>
    <row r="1104" spans="1:3" x14ac:dyDescent="0.15">
      <c r="A1104" s="79"/>
      <c r="B1104" s="77" t="str">
        <f t="shared" ca="1" si="34"/>
        <v/>
      </c>
      <c r="C1104" s="11" t="str">
        <f t="shared" ca="1" si="35"/>
        <v/>
      </c>
    </row>
    <row r="1105" spans="1:3" x14ac:dyDescent="0.15">
      <c r="A1105" s="79"/>
      <c r="B1105" s="77" t="str">
        <f t="shared" ca="1" si="34"/>
        <v/>
      </c>
      <c r="C1105" s="11" t="str">
        <f t="shared" ca="1" si="35"/>
        <v/>
      </c>
    </row>
    <row r="1106" spans="1:3" x14ac:dyDescent="0.15">
      <c r="A1106" s="79"/>
      <c r="B1106" s="77" t="str">
        <f t="shared" ca="1" si="34"/>
        <v/>
      </c>
      <c r="C1106" s="11" t="str">
        <f t="shared" ca="1" si="35"/>
        <v/>
      </c>
    </row>
    <row r="1107" spans="1:3" x14ac:dyDescent="0.15">
      <c r="A1107" s="79"/>
      <c r="B1107" s="77" t="str">
        <f t="shared" ca="1" si="34"/>
        <v/>
      </c>
      <c r="C1107" s="11" t="str">
        <f t="shared" ca="1" si="35"/>
        <v/>
      </c>
    </row>
    <row r="1108" spans="1:3" x14ac:dyDescent="0.15">
      <c r="A1108" s="79"/>
      <c r="B1108" s="77" t="str">
        <f t="shared" ca="1" si="34"/>
        <v/>
      </c>
      <c r="C1108" s="11" t="str">
        <f t="shared" ca="1" si="35"/>
        <v/>
      </c>
    </row>
    <row r="1109" spans="1:3" x14ac:dyDescent="0.15">
      <c r="A1109" s="79"/>
      <c r="B1109" s="77" t="str">
        <f t="shared" ca="1" si="34"/>
        <v/>
      </c>
      <c r="C1109" s="11" t="str">
        <f t="shared" ca="1" si="35"/>
        <v/>
      </c>
    </row>
    <row r="1110" spans="1:3" x14ac:dyDescent="0.15">
      <c r="A1110" s="79"/>
      <c r="B1110" s="77" t="str">
        <f t="shared" ca="1" si="34"/>
        <v/>
      </c>
      <c r="C1110" s="11" t="str">
        <f t="shared" ca="1" si="35"/>
        <v/>
      </c>
    </row>
    <row r="1111" spans="1:3" x14ac:dyDescent="0.15">
      <c r="A1111" s="79"/>
      <c r="B1111" s="77" t="str">
        <f t="shared" ca="1" si="34"/>
        <v/>
      </c>
      <c r="C1111" s="11" t="str">
        <f t="shared" ca="1" si="35"/>
        <v/>
      </c>
    </row>
    <row r="1112" spans="1:3" x14ac:dyDescent="0.15">
      <c r="A1112" s="79"/>
      <c r="B1112" s="77" t="str">
        <f t="shared" ca="1" si="34"/>
        <v/>
      </c>
      <c r="C1112" s="11" t="str">
        <f t="shared" ca="1" si="35"/>
        <v/>
      </c>
    </row>
    <row r="1113" spans="1:3" x14ac:dyDescent="0.15">
      <c r="A1113" s="79"/>
      <c r="B1113" s="77" t="str">
        <f t="shared" ca="1" si="34"/>
        <v/>
      </c>
      <c r="C1113" s="11" t="str">
        <f t="shared" ca="1" si="35"/>
        <v/>
      </c>
    </row>
    <row r="1114" spans="1:3" x14ac:dyDescent="0.15">
      <c r="A1114" s="79"/>
      <c r="B1114" s="77" t="str">
        <f t="shared" ca="1" si="34"/>
        <v/>
      </c>
      <c r="C1114" s="11" t="str">
        <f t="shared" ca="1" si="35"/>
        <v/>
      </c>
    </row>
    <row r="1115" spans="1:3" x14ac:dyDescent="0.15">
      <c r="A1115" s="79"/>
      <c r="B1115" s="77" t="str">
        <f t="shared" ca="1" si="34"/>
        <v/>
      </c>
      <c r="C1115" s="11" t="str">
        <f t="shared" ca="1" si="35"/>
        <v/>
      </c>
    </row>
    <row r="1116" spans="1:3" x14ac:dyDescent="0.15">
      <c r="A1116" s="79"/>
      <c r="B1116" s="77" t="str">
        <f t="shared" ca="1" si="34"/>
        <v/>
      </c>
      <c r="C1116" s="11" t="str">
        <f t="shared" ca="1" si="35"/>
        <v/>
      </c>
    </row>
    <row r="1117" spans="1:3" x14ac:dyDescent="0.15">
      <c r="A1117" s="79"/>
      <c r="B1117" s="77" t="str">
        <f t="shared" ca="1" si="34"/>
        <v/>
      </c>
      <c r="C1117" s="11" t="str">
        <f t="shared" ca="1" si="35"/>
        <v/>
      </c>
    </row>
    <row r="1118" spans="1:3" x14ac:dyDescent="0.15">
      <c r="A1118" s="79"/>
      <c r="B1118" s="77" t="str">
        <f t="shared" ca="1" si="34"/>
        <v/>
      </c>
      <c r="C1118" s="11" t="str">
        <f t="shared" ca="1" si="35"/>
        <v/>
      </c>
    </row>
    <row r="1119" spans="1:3" x14ac:dyDescent="0.15">
      <c r="A1119" s="79"/>
      <c r="B1119" s="77" t="str">
        <f t="shared" ca="1" si="34"/>
        <v/>
      </c>
      <c r="C1119" s="11" t="str">
        <f t="shared" ca="1" si="35"/>
        <v/>
      </c>
    </row>
    <row r="1120" spans="1:3" x14ac:dyDescent="0.15">
      <c r="A1120" s="79"/>
      <c r="B1120" s="77" t="str">
        <f t="shared" ca="1" si="34"/>
        <v/>
      </c>
      <c r="C1120" s="11" t="str">
        <f t="shared" ca="1" si="35"/>
        <v/>
      </c>
    </row>
    <row r="1121" spans="1:3" x14ac:dyDescent="0.15">
      <c r="A1121" s="79"/>
      <c r="B1121" s="77" t="str">
        <f t="shared" ca="1" si="34"/>
        <v/>
      </c>
      <c r="C1121" s="11" t="str">
        <f t="shared" ca="1" si="35"/>
        <v/>
      </c>
    </row>
    <row r="1122" spans="1:3" x14ac:dyDescent="0.15">
      <c r="A1122" s="79"/>
      <c r="B1122" s="77" t="str">
        <f t="shared" ca="1" si="34"/>
        <v/>
      </c>
      <c r="C1122" s="11" t="str">
        <f t="shared" ca="1" si="35"/>
        <v/>
      </c>
    </row>
    <row r="1123" spans="1:3" x14ac:dyDescent="0.15">
      <c r="A1123" s="79"/>
      <c r="B1123" s="77" t="str">
        <f t="shared" ca="1" si="34"/>
        <v/>
      </c>
      <c r="C1123" s="11" t="str">
        <f t="shared" ca="1" si="35"/>
        <v/>
      </c>
    </row>
    <row r="1124" spans="1:3" x14ac:dyDescent="0.15">
      <c r="A1124" s="79"/>
      <c r="B1124" s="77" t="str">
        <f t="shared" ca="1" si="34"/>
        <v/>
      </c>
      <c r="C1124" s="11" t="str">
        <f t="shared" ca="1" si="35"/>
        <v/>
      </c>
    </row>
    <row r="1125" spans="1:3" x14ac:dyDescent="0.15">
      <c r="A1125" s="79"/>
      <c r="B1125" s="77" t="str">
        <f t="shared" ca="1" si="34"/>
        <v/>
      </c>
      <c r="C1125" s="11" t="str">
        <f t="shared" ca="1" si="35"/>
        <v/>
      </c>
    </row>
    <row r="1126" spans="1:3" x14ac:dyDescent="0.15">
      <c r="A1126" s="79"/>
      <c r="B1126" s="77" t="str">
        <f t="shared" ca="1" si="34"/>
        <v/>
      </c>
      <c r="C1126" s="11" t="str">
        <f t="shared" ca="1" si="35"/>
        <v/>
      </c>
    </row>
    <row r="1127" spans="1:3" x14ac:dyDescent="0.15">
      <c r="A1127" s="79"/>
      <c r="B1127" s="77" t="str">
        <f t="shared" ca="1" si="34"/>
        <v/>
      </c>
      <c r="C1127" s="11" t="str">
        <f t="shared" ca="1" si="35"/>
        <v/>
      </c>
    </row>
    <row r="1128" spans="1:3" x14ac:dyDescent="0.15">
      <c r="A1128" s="79"/>
      <c r="B1128" s="77" t="str">
        <f t="shared" ca="1" si="34"/>
        <v/>
      </c>
      <c r="C1128" s="11" t="str">
        <f t="shared" ca="1" si="35"/>
        <v/>
      </c>
    </row>
    <row r="1129" spans="1:3" x14ac:dyDescent="0.15">
      <c r="A1129" s="79"/>
      <c r="B1129" s="77" t="str">
        <f t="shared" ca="1" si="34"/>
        <v/>
      </c>
      <c r="C1129" s="11" t="str">
        <f t="shared" ca="1" si="35"/>
        <v/>
      </c>
    </row>
    <row r="1130" spans="1:3" x14ac:dyDescent="0.15">
      <c r="A1130" s="79"/>
      <c r="B1130" s="77" t="str">
        <f t="shared" ca="1" si="34"/>
        <v/>
      </c>
      <c r="C1130" s="11" t="str">
        <f t="shared" ca="1" si="35"/>
        <v/>
      </c>
    </row>
    <row r="1131" spans="1:3" x14ac:dyDescent="0.15">
      <c r="A1131" s="79"/>
      <c r="B1131" s="77" t="str">
        <f t="shared" ca="1" si="34"/>
        <v/>
      </c>
      <c r="C1131" s="11" t="str">
        <f t="shared" ca="1" si="35"/>
        <v/>
      </c>
    </row>
    <row r="1132" spans="1:3" x14ac:dyDescent="0.15">
      <c r="A1132" s="79"/>
      <c r="B1132" s="77" t="str">
        <f t="shared" ca="1" si="34"/>
        <v/>
      </c>
      <c r="C1132" s="11" t="str">
        <f t="shared" ca="1" si="35"/>
        <v/>
      </c>
    </row>
    <row r="1133" spans="1:3" x14ac:dyDescent="0.15">
      <c r="A1133" s="79"/>
      <c r="B1133" s="77" t="str">
        <f t="shared" ca="1" si="34"/>
        <v/>
      </c>
      <c r="C1133" s="11" t="str">
        <f t="shared" ca="1" si="35"/>
        <v/>
      </c>
    </row>
    <row r="1134" spans="1:3" x14ac:dyDescent="0.15">
      <c r="A1134" s="79"/>
      <c r="B1134" s="77" t="str">
        <f t="shared" ca="1" si="34"/>
        <v/>
      </c>
      <c r="C1134" s="11" t="str">
        <f t="shared" ca="1" si="35"/>
        <v/>
      </c>
    </row>
    <row r="1135" spans="1:3" x14ac:dyDescent="0.15">
      <c r="A1135" s="79"/>
      <c r="B1135" s="77" t="str">
        <f t="shared" ca="1" si="34"/>
        <v/>
      </c>
      <c r="C1135" s="11" t="str">
        <f t="shared" ca="1" si="35"/>
        <v/>
      </c>
    </row>
    <row r="1136" spans="1:3" x14ac:dyDescent="0.15">
      <c r="A1136" s="79"/>
      <c r="B1136" s="77" t="str">
        <f t="shared" ca="1" si="34"/>
        <v/>
      </c>
      <c r="C1136" s="11" t="str">
        <f t="shared" ca="1" si="35"/>
        <v/>
      </c>
    </row>
    <row r="1137" spans="1:3" x14ac:dyDescent="0.15">
      <c r="A1137" s="79"/>
      <c r="B1137" s="77" t="str">
        <f t="shared" ca="1" si="34"/>
        <v/>
      </c>
      <c r="C1137" s="11" t="str">
        <f t="shared" ca="1" si="35"/>
        <v/>
      </c>
    </row>
    <row r="1138" spans="1:3" x14ac:dyDescent="0.15">
      <c r="A1138" s="79"/>
      <c r="B1138" s="77" t="str">
        <f t="shared" ca="1" si="34"/>
        <v/>
      </c>
      <c r="C1138" s="11" t="str">
        <f t="shared" ca="1" si="35"/>
        <v/>
      </c>
    </row>
    <row r="1139" spans="1:3" x14ac:dyDescent="0.15">
      <c r="A1139" s="79"/>
      <c r="B1139" s="77" t="str">
        <f t="shared" ca="1" si="34"/>
        <v/>
      </c>
      <c r="C1139" s="11" t="str">
        <f t="shared" ca="1" si="35"/>
        <v/>
      </c>
    </row>
    <row r="1140" spans="1:3" x14ac:dyDescent="0.15">
      <c r="A1140" s="79"/>
      <c r="B1140" s="77" t="str">
        <f t="shared" ca="1" si="34"/>
        <v/>
      </c>
      <c r="C1140" s="11" t="str">
        <f t="shared" ca="1" si="35"/>
        <v/>
      </c>
    </row>
    <row r="1141" spans="1:3" x14ac:dyDescent="0.15">
      <c r="A1141" s="79"/>
      <c r="B1141" s="77" t="str">
        <f t="shared" ca="1" si="34"/>
        <v/>
      </c>
      <c r="C1141" s="11" t="str">
        <f t="shared" ca="1" si="35"/>
        <v/>
      </c>
    </row>
    <row r="1142" spans="1:3" x14ac:dyDescent="0.15">
      <c r="A1142" s="79"/>
      <c r="B1142" s="77" t="str">
        <f t="shared" ca="1" si="34"/>
        <v/>
      </c>
      <c r="C1142" s="11" t="str">
        <f t="shared" ca="1" si="35"/>
        <v/>
      </c>
    </row>
    <row r="1143" spans="1:3" x14ac:dyDescent="0.15">
      <c r="A1143" s="79"/>
      <c r="B1143" s="77" t="str">
        <f t="shared" ca="1" si="34"/>
        <v/>
      </c>
      <c r="C1143" s="11" t="str">
        <f t="shared" ca="1" si="35"/>
        <v/>
      </c>
    </row>
    <row r="1144" spans="1:3" x14ac:dyDescent="0.15">
      <c r="A1144" s="79"/>
      <c r="B1144" s="77" t="str">
        <f t="shared" ca="1" si="34"/>
        <v/>
      </c>
      <c r="C1144" s="11" t="str">
        <f t="shared" ca="1" si="35"/>
        <v/>
      </c>
    </row>
    <row r="1145" spans="1:3" x14ac:dyDescent="0.15">
      <c r="A1145" s="79"/>
      <c r="B1145" s="77" t="str">
        <f t="shared" ca="1" si="34"/>
        <v/>
      </c>
      <c r="C1145" s="11" t="str">
        <f t="shared" ca="1" si="35"/>
        <v/>
      </c>
    </row>
    <row r="1146" spans="1:3" x14ac:dyDescent="0.15">
      <c r="A1146" s="79"/>
      <c r="B1146" s="77" t="str">
        <f t="shared" ca="1" si="34"/>
        <v/>
      </c>
      <c r="C1146" s="11" t="str">
        <f t="shared" ca="1" si="35"/>
        <v/>
      </c>
    </row>
    <row r="1147" spans="1:3" x14ac:dyDescent="0.15">
      <c r="A1147" s="79"/>
      <c r="B1147" s="77" t="str">
        <f t="shared" ca="1" si="34"/>
        <v/>
      </c>
      <c r="C1147" s="11" t="str">
        <f t="shared" ca="1" si="35"/>
        <v/>
      </c>
    </row>
    <row r="1148" spans="1:3" x14ac:dyDescent="0.15">
      <c r="A1148" s="79"/>
      <c r="B1148" s="77" t="str">
        <f t="shared" ca="1" si="34"/>
        <v/>
      </c>
      <c r="C1148" s="11" t="str">
        <f t="shared" ca="1" si="35"/>
        <v/>
      </c>
    </row>
    <row r="1149" spans="1:3" x14ac:dyDescent="0.15">
      <c r="A1149" s="79"/>
      <c r="B1149" s="77" t="str">
        <f t="shared" ca="1" si="34"/>
        <v/>
      </c>
      <c r="C1149" s="11" t="str">
        <f t="shared" ca="1" si="35"/>
        <v/>
      </c>
    </row>
    <row r="1150" spans="1:3" x14ac:dyDescent="0.15">
      <c r="A1150" s="79"/>
      <c r="B1150" s="77" t="str">
        <f t="shared" ca="1" si="34"/>
        <v/>
      </c>
      <c r="C1150" s="11" t="str">
        <f t="shared" ca="1" si="35"/>
        <v/>
      </c>
    </row>
    <row r="1151" spans="1:3" x14ac:dyDescent="0.15">
      <c r="A1151" s="79"/>
      <c r="B1151" s="77" t="str">
        <f t="shared" ca="1" si="34"/>
        <v/>
      </c>
      <c r="C1151" s="11" t="str">
        <f t="shared" ca="1" si="35"/>
        <v/>
      </c>
    </row>
    <row r="1152" spans="1:3" x14ac:dyDescent="0.15">
      <c r="A1152" s="79"/>
      <c r="B1152" s="77" t="str">
        <f t="shared" ca="1" si="34"/>
        <v/>
      </c>
      <c r="C1152" s="11" t="str">
        <f t="shared" ca="1" si="35"/>
        <v/>
      </c>
    </row>
    <row r="1153" spans="1:3" x14ac:dyDescent="0.15">
      <c r="A1153" s="79"/>
      <c r="B1153" s="77" t="str">
        <f t="shared" ca="1" si="34"/>
        <v/>
      </c>
      <c r="C1153" s="11" t="str">
        <f t="shared" ca="1" si="35"/>
        <v/>
      </c>
    </row>
    <row r="1154" spans="1:3" x14ac:dyDescent="0.15">
      <c r="A1154" s="79"/>
      <c r="B1154" s="77" t="str">
        <f t="shared" ref="B1154:B1217" ca="1" si="36">IFERROR(VLOOKUP(TEXT(A1154,"00000000"),analysis_table_by_barcode,15,FALSE),"")</f>
        <v/>
      </c>
      <c r="C1154" s="11" t="str">
        <f t="shared" ref="C1154:C1217" ca="1" si="37">IF($B1154&lt;&gt;"", IF(VLOOKUP(B1154, final_to_ministry_result,2,FALSE)&lt;&gt;"",VLOOKUP(B1154, final_to_ministry_result,2,FALSE),""),"")</f>
        <v/>
      </c>
    </row>
    <row r="1155" spans="1:3" x14ac:dyDescent="0.15">
      <c r="A1155" s="79"/>
      <c r="B1155" s="77" t="str">
        <f t="shared" ca="1" si="36"/>
        <v/>
      </c>
      <c r="C1155" s="11" t="str">
        <f t="shared" ca="1" si="37"/>
        <v/>
      </c>
    </row>
    <row r="1156" spans="1:3" x14ac:dyDescent="0.15">
      <c r="A1156" s="79"/>
      <c r="B1156" s="77" t="str">
        <f t="shared" ca="1" si="36"/>
        <v/>
      </c>
      <c r="C1156" s="11" t="str">
        <f t="shared" ca="1" si="37"/>
        <v/>
      </c>
    </row>
    <row r="1157" spans="1:3" x14ac:dyDescent="0.15">
      <c r="A1157" s="79"/>
      <c r="B1157" s="77" t="str">
        <f t="shared" ca="1" si="36"/>
        <v/>
      </c>
      <c r="C1157" s="11" t="str">
        <f t="shared" ca="1" si="37"/>
        <v/>
      </c>
    </row>
    <row r="1158" spans="1:3" x14ac:dyDescent="0.15">
      <c r="A1158" s="79"/>
      <c r="B1158" s="77" t="str">
        <f t="shared" ca="1" si="36"/>
        <v/>
      </c>
      <c r="C1158" s="11" t="str">
        <f t="shared" ca="1" si="37"/>
        <v/>
      </c>
    </row>
    <row r="1159" spans="1:3" x14ac:dyDescent="0.15">
      <c r="A1159" s="79"/>
      <c r="B1159" s="77" t="str">
        <f t="shared" ca="1" si="36"/>
        <v/>
      </c>
      <c r="C1159" s="11" t="str">
        <f t="shared" ca="1" si="37"/>
        <v/>
      </c>
    </row>
    <row r="1160" spans="1:3" x14ac:dyDescent="0.15">
      <c r="A1160" s="79"/>
      <c r="B1160" s="77" t="str">
        <f t="shared" ca="1" si="36"/>
        <v/>
      </c>
      <c r="C1160" s="11" t="str">
        <f t="shared" ca="1" si="37"/>
        <v/>
      </c>
    </row>
    <row r="1161" spans="1:3" x14ac:dyDescent="0.15">
      <c r="A1161" s="79"/>
      <c r="B1161" s="77" t="str">
        <f t="shared" ca="1" si="36"/>
        <v/>
      </c>
      <c r="C1161" s="11" t="str">
        <f t="shared" ca="1" si="37"/>
        <v/>
      </c>
    </row>
    <row r="1162" spans="1:3" x14ac:dyDescent="0.15">
      <c r="A1162" s="79"/>
      <c r="B1162" s="77" t="str">
        <f t="shared" ca="1" si="36"/>
        <v/>
      </c>
      <c r="C1162" s="11" t="str">
        <f t="shared" ca="1" si="37"/>
        <v/>
      </c>
    </row>
    <row r="1163" spans="1:3" x14ac:dyDescent="0.15">
      <c r="A1163" s="79"/>
      <c r="B1163" s="77" t="str">
        <f t="shared" ca="1" si="36"/>
        <v/>
      </c>
      <c r="C1163" s="11" t="str">
        <f t="shared" ca="1" si="37"/>
        <v/>
      </c>
    </row>
    <row r="1164" spans="1:3" x14ac:dyDescent="0.15">
      <c r="A1164" s="79"/>
      <c r="B1164" s="77" t="str">
        <f t="shared" ca="1" si="36"/>
        <v/>
      </c>
      <c r="C1164" s="11" t="str">
        <f t="shared" ca="1" si="37"/>
        <v/>
      </c>
    </row>
    <row r="1165" spans="1:3" x14ac:dyDescent="0.15">
      <c r="A1165" s="79"/>
      <c r="B1165" s="77" t="str">
        <f t="shared" ca="1" si="36"/>
        <v/>
      </c>
      <c r="C1165" s="11" t="str">
        <f t="shared" ca="1" si="37"/>
        <v/>
      </c>
    </row>
    <row r="1166" spans="1:3" x14ac:dyDescent="0.15">
      <c r="A1166" s="79"/>
      <c r="B1166" s="77" t="str">
        <f t="shared" ca="1" si="36"/>
        <v/>
      </c>
      <c r="C1166" s="11" t="str">
        <f t="shared" ca="1" si="37"/>
        <v/>
      </c>
    </row>
    <row r="1167" spans="1:3" x14ac:dyDescent="0.15">
      <c r="A1167" s="79"/>
      <c r="B1167" s="77" t="str">
        <f t="shared" ca="1" si="36"/>
        <v/>
      </c>
      <c r="C1167" s="11" t="str">
        <f t="shared" ca="1" si="37"/>
        <v/>
      </c>
    </row>
    <row r="1168" spans="1:3" x14ac:dyDescent="0.15">
      <c r="A1168" s="79"/>
      <c r="B1168" s="77" t="str">
        <f t="shared" ca="1" si="36"/>
        <v/>
      </c>
      <c r="C1168" s="11" t="str">
        <f t="shared" ca="1" si="37"/>
        <v/>
      </c>
    </row>
    <row r="1169" spans="1:3" x14ac:dyDescent="0.15">
      <c r="A1169" s="79"/>
      <c r="B1169" s="77" t="str">
        <f t="shared" ca="1" si="36"/>
        <v/>
      </c>
      <c r="C1169" s="11" t="str">
        <f t="shared" ca="1" si="37"/>
        <v/>
      </c>
    </row>
    <row r="1170" spans="1:3" x14ac:dyDescent="0.15">
      <c r="A1170" s="79"/>
      <c r="B1170" s="77" t="str">
        <f t="shared" ca="1" si="36"/>
        <v/>
      </c>
      <c r="C1170" s="11" t="str">
        <f t="shared" ca="1" si="37"/>
        <v/>
      </c>
    </row>
    <row r="1171" spans="1:3" x14ac:dyDescent="0.15">
      <c r="A1171" s="79"/>
      <c r="B1171" s="77" t="str">
        <f t="shared" ca="1" si="36"/>
        <v/>
      </c>
      <c r="C1171" s="11" t="str">
        <f t="shared" ca="1" si="37"/>
        <v/>
      </c>
    </row>
    <row r="1172" spans="1:3" x14ac:dyDescent="0.15">
      <c r="A1172" s="79"/>
      <c r="B1172" s="77" t="str">
        <f t="shared" ca="1" si="36"/>
        <v/>
      </c>
      <c r="C1172" s="11" t="str">
        <f t="shared" ca="1" si="37"/>
        <v/>
      </c>
    </row>
    <row r="1173" spans="1:3" x14ac:dyDescent="0.15">
      <c r="A1173" s="79"/>
      <c r="B1173" s="77" t="str">
        <f t="shared" ca="1" si="36"/>
        <v/>
      </c>
      <c r="C1173" s="11" t="str">
        <f t="shared" ca="1" si="37"/>
        <v/>
      </c>
    </row>
    <row r="1174" spans="1:3" x14ac:dyDescent="0.15">
      <c r="A1174" s="79"/>
      <c r="B1174" s="77" t="str">
        <f t="shared" ca="1" si="36"/>
        <v/>
      </c>
      <c r="C1174" s="11" t="str">
        <f t="shared" ca="1" si="37"/>
        <v/>
      </c>
    </row>
    <row r="1175" spans="1:3" x14ac:dyDescent="0.15">
      <c r="A1175" s="79"/>
      <c r="B1175" s="77" t="str">
        <f t="shared" ca="1" si="36"/>
        <v/>
      </c>
      <c r="C1175" s="11" t="str">
        <f t="shared" ca="1" si="37"/>
        <v/>
      </c>
    </row>
    <row r="1176" spans="1:3" x14ac:dyDescent="0.15">
      <c r="A1176" s="79"/>
      <c r="B1176" s="77" t="str">
        <f t="shared" ca="1" si="36"/>
        <v/>
      </c>
      <c r="C1176" s="11" t="str">
        <f t="shared" ca="1" si="37"/>
        <v/>
      </c>
    </row>
    <row r="1177" spans="1:3" x14ac:dyDescent="0.15">
      <c r="A1177" s="79"/>
      <c r="B1177" s="77" t="str">
        <f t="shared" ca="1" si="36"/>
        <v/>
      </c>
      <c r="C1177" s="11" t="str">
        <f t="shared" ca="1" si="37"/>
        <v/>
      </c>
    </row>
    <row r="1178" spans="1:3" x14ac:dyDescent="0.15">
      <c r="A1178" s="79"/>
      <c r="B1178" s="77" t="str">
        <f t="shared" ca="1" si="36"/>
        <v/>
      </c>
      <c r="C1178" s="11" t="str">
        <f t="shared" ca="1" si="37"/>
        <v/>
      </c>
    </row>
    <row r="1179" spans="1:3" x14ac:dyDescent="0.15">
      <c r="A1179" s="79"/>
      <c r="B1179" s="77" t="str">
        <f t="shared" ca="1" si="36"/>
        <v/>
      </c>
      <c r="C1179" s="11" t="str">
        <f t="shared" ca="1" si="37"/>
        <v/>
      </c>
    </row>
    <row r="1180" spans="1:3" x14ac:dyDescent="0.15">
      <c r="A1180" s="79"/>
      <c r="B1180" s="77" t="str">
        <f t="shared" ca="1" si="36"/>
        <v/>
      </c>
      <c r="C1180" s="11" t="str">
        <f t="shared" ca="1" si="37"/>
        <v/>
      </c>
    </row>
    <row r="1181" spans="1:3" x14ac:dyDescent="0.15">
      <c r="A1181" s="79"/>
      <c r="B1181" s="77" t="str">
        <f t="shared" ca="1" si="36"/>
        <v/>
      </c>
      <c r="C1181" s="11" t="str">
        <f t="shared" ca="1" si="37"/>
        <v/>
      </c>
    </row>
    <row r="1182" spans="1:3" x14ac:dyDescent="0.15">
      <c r="A1182" s="79"/>
      <c r="B1182" s="77" t="str">
        <f t="shared" ca="1" si="36"/>
        <v/>
      </c>
      <c r="C1182" s="11" t="str">
        <f t="shared" ca="1" si="37"/>
        <v/>
      </c>
    </row>
    <row r="1183" spans="1:3" x14ac:dyDescent="0.15">
      <c r="A1183" s="79"/>
      <c r="B1183" s="77" t="str">
        <f t="shared" ca="1" si="36"/>
        <v/>
      </c>
      <c r="C1183" s="11" t="str">
        <f t="shared" ca="1" si="37"/>
        <v/>
      </c>
    </row>
    <row r="1184" spans="1:3" x14ac:dyDescent="0.15">
      <c r="A1184" s="79"/>
      <c r="B1184" s="77" t="str">
        <f t="shared" ca="1" si="36"/>
        <v/>
      </c>
      <c r="C1184" s="11" t="str">
        <f t="shared" ca="1" si="37"/>
        <v/>
      </c>
    </row>
    <row r="1185" spans="1:3" x14ac:dyDescent="0.15">
      <c r="A1185" s="79"/>
      <c r="B1185" s="77" t="str">
        <f t="shared" ca="1" si="36"/>
        <v/>
      </c>
      <c r="C1185" s="11" t="str">
        <f t="shared" ca="1" si="37"/>
        <v/>
      </c>
    </row>
    <row r="1186" spans="1:3" x14ac:dyDescent="0.15">
      <c r="A1186" s="79"/>
      <c r="B1186" s="77" t="str">
        <f t="shared" ca="1" si="36"/>
        <v/>
      </c>
      <c r="C1186" s="11" t="str">
        <f t="shared" ca="1" si="37"/>
        <v/>
      </c>
    </row>
    <row r="1187" spans="1:3" x14ac:dyDescent="0.15">
      <c r="A1187" s="79"/>
      <c r="B1187" s="77" t="str">
        <f t="shared" ca="1" si="36"/>
        <v/>
      </c>
      <c r="C1187" s="11" t="str">
        <f t="shared" ca="1" si="37"/>
        <v/>
      </c>
    </row>
    <row r="1188" spans="1:3" x14ac:dyDescent="0.15">
      <c r="A1188" s="79"/>
      <c r="B1188" s="77" t="str">
        <f t="shared" ca="1" si="36"/>
        <v/>
      </c>
      <c r="C1188" s="11" t="str">
        <f t="shared" ca="1" si="37"/>
        <v/>
      </c>
    </row>
    <row r="1189" spans="1:3" x14ac:dyDescent="0.15">
      <c r="A1189" s="79"/>
      <c r="B1189" s="77" t="str">
        <f t="shared" ca="1" si="36"/>
        <v/>
      </c>
      <c r="C1189" s="11" t="str">
        <f t="shared" ca="1" si="37"/>
        <v/>
      </c>
    </row>
    <row r="1190" spans="1:3" x14ac:dyDescent="0.15">
      <c r="A1190" s="79"/>
      <c r="B1190" s="77" t="str">
        <f t="shared" ca="1" si="36"/>
        <v/>
      </c>
      <c r="C1190" s="11" t="str">
        <f t="shared" ca="1" si="37"/>
        <v/>
      </c>
    </row>
    <row r="1191" spans="1:3" x14ac:dyDescent="0.15">
      <c r="A1191" s="79"/>
      <c r="B1191" s="77" t="str">
        <f t="shared" ca="1" si="36"/>
        <v/>
      </c>
      <c r="C1191" s="11" t="str">
        <f t="shared" ca="1" si="37"/>
        <v/>
      </c>
    </row>
    <row r="1192" spans="1:3" x14ac:dyDescent="0.15">
      <c r="A1192" s="79"/>
      <c r="B1192" s="77" t="str">
        <f t="shared" ca="1" si="36"/>
        <v/>
      </c>
      <c r="C1192" s="11" t="str">
        <f t="shared" ca="1" si="37"/>
        <v/>
      </c>
    </row>
    <row r="1193" spans="1:3" x14ac:dyDescent="0.15">
      <c r="A1193" s="79"/>
      <c r="B1193" s="77" t="str">
        <f t="shared" ca="1" si="36"/>
        <v/>
      </c>
      <c r="C1193" s="11" t="str">
        <f t="shared" ca="1" si="37"/>
        <v/>
      </c>
    </row>
    <row r="1194" spans="1:3" x14ac:dyDescent="0.15">
      <c r="A1194" s="79"/>
      <c r="B1194" s="77" t="str">
        <f t="shared" ca="1" si="36"/>
        <v/>
      </c>
      <c r="C1194" s="11" t="str">
        <f t="shared" ca="1" si="37"/>
        <v/>
      </c>
    </row>
    <row r="1195" spans="1:3" x14ac:dyDescent="0.15">
      <c r="A1195" s="79"/>
      <c r="B1195" s="77" t="str">
        <f t="shared" ca="1" si="36"/>
        <v/>
      </c>
      <c r="C1195" s="11" t="str">
        <f t="shared" ca="1" si="37"/>
        <v/>
      </c>
    </row>
    <row r="1196" spans="1:3" x14ac:dyDescent="0.15">
      <c r="A1196" s="79"/>
      <c r="B1196" s="77" t="str">
        <f t="shared" ca="1" si="36"/>
        <v/>
      </c>
      <c r="C1196" s="11" t="str">
        <f t="shared" ca="1" si="37"/>
        <v/>
      </c>
    </row>
    <row r="1197" spans="1:3" x14ac:dyDescent="0.15">
      <c r="A1197" s="79"/>
      <c r="B1197" s="77" t="str">
        <f t="shared" ca="1" si="36"/>
        <v/>
      </c>
      <c r="C1197" s="11" t="str">
        <f t="shared" ca="1" si="37"/>
        <v/>
      </c>
    </row>
    <row r="1198" spans="1:3" x14ac:dyDescent="0.15">
      <c r="A1198" s="79"/>
      <c r="B1198" s="77" t="str">
        <f t="shared" ca="1" si="36"/>
        <v/>
      </c>
      <c r="C1198" s="11" t="str">
        <f t="shared" ca="1" si="37"/>
        <v/>
      </c>
    </row>
    <row r="1199" spans="1:3" x14ac:dyDescent="0.15">
      <c r="A1199" s="79"/>
      <c r="B1199" s="77" t="str">
        <f t="shared" ca="1" si="36"/>
        <v/>
      </c>
      <c r="C1199" s="11" t="str">
        <f t="shared" ca="1" si="37"/>
        <v/>
      </c>
    </row>
    <row r="1200" spans="1:3" x14ac:dyDescent="0.15">
      <c r="A1200" s="79"/>
      <c r="B1200" s="77" t="str">
        <f t="shared" ca="1" si="36"/>
        <v/>
      </c>
      <c r="C1200" s="11" t="str">
        <f t="shared" ca="1" si="37"/>
        <v/>
      </c>
    </row>
    <row r="1201" spans="1:3" x14ac:dyDescent="0.15">
      <c r="A1201" s="79"/>
      <c r="B1201" s="77" t="str">
        <f t="shared" ca="1" si="36"/>
        <v/>
      </c>
      <c r="C1201" s="11" t="str">
        <f t="shared" ca="1" si="37"/>
        <v/>
      </c>
    </row>
    <row r="1202" spans="1:3" x14ac:dyDescent="0.15">
      <c r="A1202" s="79"/>
      <c r="B1202" s="77" t="str">
        <f t="shared" ca="1" si="36"/>
        <v/>
      </c>
      <c r="C1202" s="11" t="str">
        <f t="shared" ca="1" si="37"/>
        <v/>
      </c>
    </row>
    <row r="1203" spans="1:3" x14ac:dyDescent="0.15">
      <c r="A1203" s="79"/>
      <c r="B1203" s="77" t="str">
        <f t="shared" ca="1" si="36"/>
        <v/>
      </c>
      <c r="C1203" s="11" t="str">
        <f t="shared" ca="1" si="37"/>
        <v/>
      </c>
    </row>
    <row r="1204" spans="1:3" x14ac:dyDescent="0.15">
      <c r="A1204" s="79"/>
      <c r="B1204" s="77" t="str">
        <f t="shared" ca="1" si="36"/>
        <v/>
      </c>
      <c r="C1204" s="11" t="str">
        <f t="shared" ca="1" si="37"/>
        <v/>
      </c>
    </row>
    <row r="1205" spans="1:3" x14ac:dyDescent="0.15">
      <c r="A1205" s="79"/>
      <c r="B1205" s="77" t="str">
        <f t="shared" ca="1" si="36"/>
        <v/>
      </c>
      <c r="C1205" s="11" t="str">
        <f t="shared" ca="1" si="37"/>
        <v/>
      </c>
    </row>
    <row r="1206" spans="1:3" x14ac:dyDescent="0.15">
      <c r="A1206" s="79"/>
      <c r="B1206" s="77" t="str">
        <f t="shared" ca="1" si="36"/>
        <v/>
      </c>
      <c r="C1206" s="11" t="str">
        <f t="shared" ca="1" si="37"/>
        <v/>
      </c>
    </row>
    <row r="1207" spans="1:3" x14ac:dyDescent="0.15">
      <c r="A1207" s="79"/>
      <c r="B1207" s="77" t="str">
        <f t="shared" ca="1" si="36"/>
        <v/>
      </c>
      <c r="C1207" s="11" t="str">
        <f t="shared" ca="1" si="37"/>
        <v/>
      </c>
    </row>
    <row r="1208" spans="1:3" x14ac:dyDescent="0.15">
      <c r="A1208" s="79"/>
      <c r="B1208" s="77" t="str">
        <f t="shared" ca="1" si="36"/>
        <v/>
      </c>
      <c r="C1208" s="11" t="str">
        <f t="shared" ca="1" si="37"/>
        <v/>
      </c>
    </row>
    <row r="1209" spans="1:3" x14ac:dyDescent="0.15">
      <c r="A1209" s="79"/>
      <c r="B1209" s="77" t="str">
        <f t="shared" ca="1" si="36"/>
        <v/>
      </c>
      <c r="C1209" s="11" t="str">
        <f t="shared" ca="1" si="37"/>
        <v/>
      </c>
    </row>
    <row r="1210" spans="1:3" x14ac:dyDescent="0.15">
      <c r="A1210" s="79"/>
      <c r="B1210" s="77" t="str">
        <f t="shared" ca="1" si="36"/>
        <v/>
      </c>
      <c r="C1210" s="11" t="str">
        <f t="shared" ca="1" si="37"/>
        <v/>
      </c>
    </row>
    <row r="1211" spans="1:3" x14ac:dyDescent="0.15">
      <c r="A1211" s="79"/>
      <c r="B1211" s="77" t="str">
        <f t="shared" ca="1" si="36"/>
        <v/>
      </c>
      <c r="C1211" s="11" t="str">
        <f t="shared" ca="1" si="37"/>
        <v/>
      </c>
    </row>
    <row r="1212" spans="1:3" x14ac:dyDescent="0.15">
      <c r="A1212" s="79"/>
      <c r="B1212" s="77" t="str">
        <f t="shared" ca="1" si="36"/>
        <v/>
      </c>
      <c r="C1212" s="11" t="str">
        <f t="shared" ca="1" si="37"/>
        <v/>
      </c>
    </row>
    <row r="1213" spans="1:3" x14ac:dyDescent="0.15">
      <c r="A1213" s="79"/>
      <c r="B1213" s="77" t="str">
        <f t="shared" ca="1" si="36"/>
        <v/>
      </c>
      <c r="C1213" s="11" t="str">
        <f t="shared" ca="1" si="37"/>
        <v/>
      </c>
    </row>
    <row r="1214" spans="1:3" x14ac:dyDescent="0.15">
      <c r="A1214" s="79"/>
      <c r="B1214" s="77" t="str">
        <f t="shared" ca="1" si="36"/>
        <v/>
      </c>
      <c r="C1214" s="11" t="str">
        <f t="shared" ca="1" si="37"/>
        <v/>
      </c>
    </row>
    <row r="1215" spans="1:3" x14ac:dyDescent="0.15">
      <c r="A1215" s="79"/>
      <c r="B1215" s="77" t="str">
        <f t="shared" ca="1" si="36"/>
        <v/>
      </c>
      <c r="C1215" s="11" t="str">
        <f t="shared" ca="1" si="37"/>
        <v/>
      </c>
    </row>
    <row r="1216" spans="1:3" x14ac:dyDescent="0.15">
      <c r="A1216" s="79"/>
      <c r="B1216" s="77" t="str">
        <f t="shared" ca="1" si="36"/>
        <v/>
      </c>
      <c r="C1216" s="11" t="str">
        <f t="shared" ca="1" si="37"/>
        <v/>
      </c>
    </row>
    <row r="1217" spans="1:3" x14ac:dyDescent="0.15">
      <c r="A1217" s="79"/>
      <c r="B1217" s="77" t="str">
        <f t="shared" ca="1" si="36"/>
        <v/>
      </c>
      <c r="C1217" s="11" t="str">
        <f t="shared" ca="1" si="37"/>
        <v/>
      </c>
    </row>
    <row r="1218" spans="1:3" x14ac:dyDescent="0.15">
      <c r="A1218" s="79"/>
      <c r="B1218" s="77" t="str">
        <f t="shared" ref="B1218:B1281" ca="1" si="38">IFERROR(VLOOKUP(TEXT(A1218,"00000000"),analysis_table_by_barcode,15,FALSE),"")</f>
        <v/>
      </c>
      <c r="C1218" s="11" t="str">
        <f t="shared" ref="C1218:C1281" ca="1" si="39">IF($B1218&lt;&gt;"", IF(VLOOKUP(B1218, final_to_ministry_result,2,FALSE)&lt;&gt;"",VLOOKUP(B1218, final_to_ministry_result,2,FALSE),""),"")</f>
        <v/>
      </c>
    </row>
    <row r="1219" spans="1:3" x14ac:dyDescent="0.15">
      <c r="A1219" s="79"/>
      <c r="B1219" s="77" t="str">
        <f t="shared" ca="1" si="38"/>
        <v/>
      </c>
      <c r="C1219" s="11" t="str">
        <f t="shared" ca="1" si="39"/>
        <v/>
      </c>
    </row>
    <row r="1220" spans="1:3" x14ac:dyDescent="0.15">
      <c r="A1220" s="79"/>
      <c r="B1220" s="77" t="str">
        <f t="shared" ca="1" si="38"/>
        <v/>
      </c>
      <c r="C1220" s="11" t="str">
        <f t="shared" ca="1" si="39"/>
        <v/>
      </c>
    </row>
    <row r="1221" spans="1:3" x14ac:dyDescent="0.15">
      <c r="A1221" s="79"/>
      <c r="B1221" s="77" t="str">
        <f t="shared" ca="1" si="38"/>
        <v/>
      </c>
      <c r="C1221" s="11" t="str">
        <f t="shared" ca="1" si="39"/>
        <v/>
      </c>
    </row>
    <row r="1222" spans="1:3" x14ac:dyDescent="0.15">
      <c r="A1222" s="79"/>
      <c r="B1222" s="77" t="str">
        <f t="shared" ca="1" si="38"/>
        <v/>
      </c>
      <c r="C1222" s="11" t="str">
        <f t="shared" ca="1" si="39"/>
        <v/>
      </c>
    </row>
    <row r="1223" spans="1:3" x14ac:dyDescent="0.15">
      <c r="A1223" s="79"/>
      <c r="B1223" s="77" t="str">
        <f t="shared" ca="1" si="38"/>
        <v/>
      </c>
      <c r="C1223" s="11" t="str">
        <f t="shared" ca="1" si="39"/>
        <v/>
      </c>
    </row>
    <row r="1224" spans="1:3" x14ac:dyDescent="0.15">
      <c r="A1224" s="79"/>
      <c r="B1224" s="77" t="str">
        <f t="shared" ca="1" si="38"/>
        <v/>
      </c>
      <c r="C1224" s="11" t="str">
        <f t="shared" ca="1" si="39"/>
        <v/>
      </c>
    </row>
    <row r="1225" spans="1:3" x14ac:dyDescent="0.15">
      <c r="A1225" s="79"/>
      <c r="B1225" s="77" t="str">
        <f t="shared" ca="1" si="38"/>
        <v/>
      </c>
      <c r="C1225" s="11" t="str">
        <f t="shared" ca="1" si="39"/>
        <v/>
      </c>
    </row>
    <row r="1226" spans="1:3" x14ac:dyDescent="0.15">
      <c r="A1226" s="79"/>
      <c r="B1226" s="77" t="str">
        <f t="shared" ca="1" si="38"/>
        <v/>
      </c>
      <c r="C1226" s="11" t="str">
        <f t="shared" ca="1" si="39"/>
        <v/>
      </c>
    </row>
    <row r="1227" spans="1:3" x14ac:dyDescent="0.15">
      <c r="A1227" s="79"/>
      <c r="B1227" s="77" t="str">
        <f t="shared" ca="1" si="38"/>
        <v/>
      </c>
      <c r="C1227" s="11" t="str">
        <f t="shared" ca="1" si="39"/>
        <v/>
      </c>
    </row>
    <row r="1228" spans="1:3" x14ac:dyDescent="0.15">
      <c r="A1228" s="79"/>
      <c r="B1228" s="77" t="str">
        <f t="shared" ca="1" si="38"/>
        <v/>
      </c>
      <c r="C1228" s="11" t="str">
        <f t="shared" ca="1" si="39"/>
        <v/>
      </c>
    </row>
    <row r="1229" spans="1:3" x14ac:dyDescent="0.15">
      <c r="A1229" s="79"/>
      <c r="B1229" s="77" t="str">
        <f t="shared" ca="1" si="38"/>
        <v/>
      </c>
      <c r="C1229" s="11" t="str">
        <f t="shared" ca="1" si="39"/>
        <v/>
      </c>
    </row>
    <row r="1230" spans="1:3" x14ac:dyDescent="0.15">
      <c r="A1230" s="79"/>
      <c r="B1230" s="77" t="str">
        <f t="shared" ca="1" si="38"/>
        <v/>
      </c>
      <c r="C1230" s="11" t="str">
        <f t="shared" ca="1" si="39"/>
        <v/>
      </c>
    </row>
    <row r="1231" spans="1:3" x14ac:dyDescent="0.15">
      <c r="A1231" s="79"/>
      <c r="B1231" s="77" t="str">
        <f t="shared" ca="1" si="38"/>
        <v/>
      </c>
      <c r="C1231" s="11" t="str">
        <f t="shared" ca="1" si="39"/>
        <v/>
      </c>
    </row>
    <row r="1232" spans="1:3" x14ac:dyDescent="0.15">
      <c r="A1232" s="79"/>
      <c r="B1232" s="77" t="str">
        <f t="shared" ca="1" si="38"/>
        <v/>
      </c>
      <c r="C1232" s="11" t="str">
        <f t="shared" ca="1" si="39"/>
        <v/>
      </c>
    </row>
    <row r="1233" spans="1:3" x14ac:dyDescent="0.15">
      <c r="A1233" s="79"/>
      <c r="B1233" s="77" t="str">
        <f t="shared" ca="1" si="38"/>
        <v/>
      </c>
      <c r="C1233" s="11" t="str">
        <f t="shared" ca="1" si="39"/>
        <v/>
      </c>
    </row>
    <row r="1234" spans="1:3" x14ac:dyDescent="0.15">
      <c r="A1234" s="79"/>
      <c r="B1234" s="77" t="str">
        <f t="shared" ca="1" si="38"/>
        <v/>
      </c>
      <c r="C1234" s="11" t="str">
        <f t="shared" ca="1" si="39"/>
        <v/>
      </c>
    </row>
    <row r="1235" spans="1:3" x14ac:dyDescent="0.15">
      <c r="A1235" s="79"/>
      <c r="B1235" s="77" t="str">
        <f t="shared" ca="1" si="38"/>
        <v/>
      </c>
      <c r="C1235" s="11" t="str">
        <f t="shared" ca="1" si="39"/>
        <v/>
      </c>
    </row>
    <row r="1236" spans="1:3" x14ac:dyDescent="0.15">
      <c r="A1236" s="79"/>
      <c r="B1236" s="77" t="str">
        <f t="shared" ca="1" si="38"/>
        <v/>
      </c>
      <c r="C1236" s="11" t="str">
        <f t="shared" ca="1" si="39"/>
        <v/>
      </c>
    </row>
    <row r="1237" spans="1:3" x14ac:dyDescent="0.15">
      <c r="A1237" s="79"/>
      <c r="B1237" s="77" t="str">
        <f t="shared" ca="1" si="38"/>
        <v/>
      </c>
      <c r="C1237" s="11" t="str">
        <f t="shared" ca="1" si="39"/>
        <v/>
      </c>
    </row>
    <row r="1238" spans="1:3" x14ac:dyDescent="0.15">
      <c r="A1238" s="79"/>
      <c r="B1238" s="77" t="str">
        <f t="shared" ca="1" si="38"/>
        <v/>
      </c>
      <c r="C1238" s="11" t="str">
        <f t="shared" ca="1" si="39"/>
        <v/>
      </c>
    </row>
    <row r="1239" spans="1:3" x14ac:dyDescent="0.15">
      <c r="A1239" s="79"/>
      <c r="B1239" s="77" t="str">
        <f t="shared" ca="1" si="38"/>
        <v/>
      </c>
      <c r="C1239" s="11" t="str">
        <f t="shared" ca="1" si="39"/>
        <v/>
      </c>
    </row>
    <row r="1240" spans="1:3" x14ac:dyDescent="0.15">
      <c r="A1240" s="79"/>
      <c r="B1240" s="77" t="str">
        <f t="shared" ca="1" si="38"/>
        <v/>
      </c>
      <c r="C1240" s="11" t="str">
        <f t="shared" ca="1" si="39"/>
        <v/>
      </c>
    </row>
    <row r="1241" spans="1:3" x14ac:dyDescent="0.15">
      <c r="A1241" s="79"/>
      <c r="B1241" s="77" t="str">
        <f t="shared" ca="1" si="38"/>
        <v/>
      </c>
      <c r="C1241" s="11" t="str">
        <f t="shared" ca="1" si="39"/>
        <v/>
      </c>
    </row>
    <row r="1242" spans="1:3" x14ac:dyDescent="0.15">
      <c r="A1242" s="79"/>
      <c r="B1242" s="77" t="str">
        <f t="shared" ca="1" si="38"/>
        <v/>
      </c>
      <c r="C1242" s="11" t="str">
        <f t="shared" ca="1" si="39"/>
        <v/>
      </c>
    </row>
    <row r="1243" spans="1:3" x14ac:dyDescent="0.15">
      <c r="A1243" s="79"/>
      <c r="B1243" s="77" t="str">
        <f t="shared" ca="1" si="38"/>
        <v/>
      </c>
      <c r="C1243" s="11" t="str">
        <f t="shared" ca="1" si="39"/>
        <v/>
      </c>
    </row>
    <row r="1244" spans="1:3" x14ac:dyDescent="0.15">
      <c r="A1244" s="79"/>
      <c r="B1244" s="77" t="str">
        <f t="shared" ca="1" si="38"/>
        <v/>
      </c>
      <c r="C1244" s="11" t="str">
        <f t="shared" ca="1" si="39"/>
        <v/>
      </c>
    </row>
    <row r="1245" spans="1:3" x14ac:dyDescent="0.15">
      <c r="A1245" s="79"/>
      <c r="B1245" s="77" t="str">
        <f t="shared" ca="1" si="38"/>
        <v/>
      </c>
      <c r="C1245" s="11" t="str">
        <f t="shared" ca="1" si="39"/>
        <v/>
      </c>
    </row>
    <row r="1246" spans="1:3" x14ac:dyDescent="0.15">
      <c r="A1246" s="79"/>
      <c r="B1246" s="77" t="str">
        <f t="shared" ca="1" si="38"/>
        <v/>
      </c>
      <c r="C1246" s="11" t="str">
        <f t="shared" ca="1" si="39"/>
        <v/>
      </c>
    </row>
    <row r="1247" spans="1:3" x14ac:dyDescent="0.15">
      <c r="A1247" s="79"/>
      <c r="B1247" s="77" t="str">
        <f t="shared" ca="1" si="38"/>
        <v/>
      </c>
      <c r="C1247" s="11" t="str">
        <f t="shared" ca="1" si="39"/>
        <v/>
      </c>
    </row>
    <row r="1248" spans="1:3" x14ac:dyDescent="0.15">
      <c r="A1248" s="79"/>
      <c r="B1248" s="77" t="str">
        <f t="shared" ca="1" si="38"/>
        <v/>
      </c>
      <c r="C1248" s="11" t="str">
        <f t="shared" ca="1" si="39"/>
        <v/>
      </c>
    </row>
    <row r="1249" spans="1:3" x14ac:dyDescent="0.15">
      <c r="A1249" s="79"/>
      <c r="B1249" s="77" t="str">
        <f t="shared" ca="1" si="38"/>
        <v/>
      </c>
      <c r="C1249" s="11" t="str">
        <f t="shared" ca="1" si="39"/>
        <v/>
      </c>
    </row>
    <row r="1250" spans="1:3" x14ac:dyDescent="0.15">
      <c r="A1250" s="79"/>
      <c r="B1250" s="77" t="str">
        <f t="shared" ca="1" si="38"/>
        <v/>
      </c>
      <c r="C1250" s="11" t="str">
        <f t="shared" ca="1" si="39"/>
        <v/>
      </c>
    </row>
    <row r="1251" spans="1:3" x14ac:dyDescent="0.15">
      <c r="A1251" s="79"/>
      <c r="B1251" s="77" t="str">
        <f t="shared" ca="1" si="38"/>
        <v/>
      </c>
      <c r="C1251" s="11" t="str">
        <f t="shared" ca="1" si="39"/>
        <v/>
      </c>
    </row>
    <row r="1252" spans="1:3" x14ac:dyDescent="0.15">
      <c r="A1252" s="79"/>
      <c r="B1252" s="77" t="str">
        <f t="shared" ca="1" si="38"/>
        <v/>
      </c>
      <c r="C1252" s="11" t="str">
        <f t="shared" ca="1" si="39"/>
        <v/>
      </c>
    </row>
    <row r="1253" spans="1:3" x14ac:dyDescent="0.15">
      <c r="A1253" s="79"/>
      <c r="B1253" s="77" t="str">
        <f t="shared" ca="1" si="38"/>
        <v/>
      </c>
      <c r="C1253" s="11" t="str">
        <f t="shared" ca="1" si="39"/>
        <v/>
      </c>
    </row>
    <row r="1254" spans="1:3" x14ac:dyDescent="0.15">
      <c r="A1254" s="79"/>
      <c r="B1254" s="77" t="str">
        <f t="shared" ca="1" si="38"/>
        <v/>
      </c>
      <c r="C1254" s="11" t="str">
        <f t="shared" ca="1" si="39"/>
        <v/>
      </c>
    </row>
    <row r="1255" spans="1:3" x14ac:dyDescent="0.15">
      <c r="A1255" s="79"/>
      <c r="B1255" s="77" t="str">
        <f t="shared" ca="1" si="38"/>
        <v/>
      </c>
      <c r="C1255" s="11" t="str">
        <f t="shared" ca="1" si="39"/>
        <v/>
      </c>
    </row>
    <row r="1256" spans="1:3" x14ac:dyDescent="0.15">
      <c r="A1256" s="79"/>
      <c r="B1256" s="77" t="str">
        <f t="shared" ca="1" si="38"/>
        <v/>
      </c>
      <c r="C1256" s="11" t="str">
        <f t="shared" ca="1" si="39"/>
        <v/>
      </c>
    </row>
    <row r="1257" spans="1:3" x14ac:dyDescent="0.15">
      <c r="A1257" s="79"/>
      <c r="B1257" s="77" t="str">
        <f t="shared" ca="1" si="38"/>
        <v/>
      </c>
      <c r="C1257" s="11" t="str">
        <f t="shared" ca="1" si="39"/>
        <v/>
      </c>
    </row>
    <row r="1258" spans="1:3" x14ac:dyDescent="0.15">
      <c r="A1258" s="79"/>
      <c r="B1258" s="77" t="str">
        <f t="shared" ca="1" si="38"/>
        <v/>
      </c>
      <c r="C1258" s="11" t="str">
        <f t="shared" ca="1" si="39"/>
        <v/>
      </c>
    </row>
    <row r="1259" spans="1:3" x14ac:dyDescent="0.15">
      <c r="A1259" s="79"/>
      <c r="B1259" s="77" t="str">
        <f t="shared" ca="1" si="38"/>
        <v/>
      </c>
      <c r="C1259" s="11" t="str">
        <f t="shared" ca="1" si="39"/>
        <v/>
      </c>
    </row>
    <row r="1260" spans="1:3" x14ac:dyDescent="0.15">
      <c r="A1260" s="79"/>
      <c r="B1260" s="77" t="str">
        <f t="shared" ca="1" si="38"/>
        <v/>
      </c>
      <c r="C1260" s="11" t="str">
        <f t="shared" ca="1" si="39"/>
        <v/>
      </c>
    </row>
    <row r="1261" spans="1:3" x14ac:dyDescent="0.15">
      <c r="A1261" s="79"/>
      <c r="B1261" s="77" t="str">
        <f t="shared" ca="1" si="38"/>
        <v/>
      </c>
      <c r="C1261" s="11" t="str">
        <f t="shared" ca="1" si="39"/>
        <v/>
      </c>
    </row>
    <row r="1262" spans="1:3" x14ac:dyDescent="0.15">
      <c r="A1262" s="79"/>
      <c r="B1262" s="77" t="str">
        <f t="shared" ca="1" si="38"/>
        <v/>
      </c>
      <c r="C1262" s="11" t="str">
        <f t="shared" ca="1" si="39"/>
        <v/>
      </c>
    </row>
    <row r="1263" spans="1:3" x14ac:dyDescent="0.15">
      <c r="A1263" s="79"/>
      <c r="B1263" s="77" t="str">
        <f t="shared" ca="1" si="38"/>
        <v/>
      </c>
      <c r="C1263" s="11" t="str">
        <f t="shared" ca="1" si="39"/>
        <v/>
      </c>
    </row>
    <row r="1264" spans="1:3" x14ac:dyDescent="0.15">
      <c r="A1264" s="79"/>
      <c r="B1264" s="77" t="str">
        <f t="shared" ca="1" si="38"/>
        <v/>
      </c>
      <c r="C1264" s="11" t="str">
        <f t="shared" ca="1" si="39"/>
        <v/>
      </c>
    </row>
    <row r="1265" spans="1:3" x14ac:dyDescent="0.15">
      <c r="A1265" s="79"/>
      <c r="B1265" s="77" t="str">
        <f t="shared" ca="1" si="38"/>
        <v/>
      </c>
      <c r="C1265" s="11" t="str">
        <f t="shared" ca="1" si="39"/>
        <v/>
      </c>
    </row>
    <row r="1266" spans="1:3" x14ac:dyDescent="0.15">
      <c r="A1266" s="79"/>
      <c r="B1266" s="77" t="str">
        <f t="shared" ca="1" si="38"/>
        <v/>
      </c>
      <c r="C1266" s="11" t="str">
        <f t="shared" ca="1" si="39"/>
        <v/>
      </c>
    </row>
    <row r="1267" spans="1:3" x14ac:dyDescent="0.15">
      <c r="A1267" s="79"/>
      <c r="B1267" s="77" t="str">
        <f t="shared" ca="1" si="38"/>
        <v/>
      </c>
      <c r="C1267" s="11" t="str">
        <f t="shared" ca="1" si="39"/>
        <v/>
      </c>
    </row>
    <row r="1268" spans="1:3" x14ac:dyDescent="0.15">
      <c r="A1268" s="79"/>
      <c r="B1268" s="77" t="str">
        <f t="shared" ca="1" si="38"/>
        <v/>
      </c>
      <c r="C1268" s="11" t="str">
        <f t="shared" ca="1" si="39"/>
        <v/>
      </c>
    </row>
    <row r="1269" spans="1:3" x14ac:dyDescent="0.15">
      <c r="A1269" s="79"/>
      <c r="B1269" s="77" t="str">
        <f t="shared" ca="1" si="38"/>
        <v/>
      </c>
      <c r="C1269" s="11" t="str">
        <f t="shared" ca="1" si="39"/>
        <v/>
      </c>
    </row>
    <row r="1270" spans="1:3" x14ac:dyDescent="0.15">
      <c r="A1270" s="79"/>
      <c r="B1270" s="77" t="str">
        <f t="shared" ca="1" si="38"/>
        <v/>
      </c>
      <c r="C1270" s="11" t="str">
        <f t="shared" ca="1" si="39"/>
        <v/>
      </c>
    </row>
    <row r="1271" spans="1:3" x14ac:dyDescent="0.15">
      <c r="A1271" s="79"/>
      <c r="B1271" s="77" t="str">
        <f t="shared" ca="1" si="38"/>
        <v/>
      </c>
      <c r="C1271" s="11" t="str">
        <f t="shared" ca="1" si="39"/>
        <v/>
      </c>
    </row>
    <row r="1272" spans="1:3" x14ac:dyDescent="0.15">
      <c r="A1272" s="79"/>
      <c r="B1272" s="77" t="str">
        <f t="shared" ca="1" si="38"/>
        <v/>
      </c>
      <c r="C1272" s="11" t="str">
        <f t="shared" ca="1" si="39"/>
        <v/>
      </c>
    </row>
    <row r="1273" spans="1:3" x14ac:dyDescent="0.15">
      <c r="A1273" s="79"/>
      <c r="B1273" s="77" t="str">
        <f t="shared" ca="1" si="38"/>
        <v/>
      </c>
      <c r="C1273" s="11" t="str">
        <f t="shared" ca="1" si="39"/>
        <v/>
      </c>
    </row>
    <row r="1274" spans="1:3" x14ac:dyDescent="0.15">
      <c r="A1274" s="79"/>
      <c r="B1274" s="77" t="str">
        <f t="shared" ca="1" si="38"/>
        <v/>
      </c>
      <c r="C1274" s="11" t="str">
        <f t="shared" ca="1" si="39"/>
        <v/>
      </c>
    </row>
    <row r="1275" spans="1:3" x14ac:dyDescent="0.15">
      <c r="A1275" s="79"/>
      <c r="B1275" s="77" t="str">
        <f t="shared" ca="1" si="38"/>
        <v/>
      </c>
      <c r="C1275" s="11" t="str">
        <f t="shared" ca="1" si="39"/>
        <v/>
      </c>
    </row>
    <row r="1276" spans="1:3" x14ac:dyDescent="0.15">
      <c r="A1276" s="79"/>
      <c r="B1276" s="77" t="str">
        <f t="shared" ca="1" si="38"/>
        <v/>
      </c>
      <c r="C1276" s="11" t="str">
        <f t="shared" ca="1" si="39"/>
        <v/>
      </c>
    </row>
    <row r="1277" spans="1:3" x14ac:dyDescent="0.15">
      <c r="A1277" s="79"/>
      <c r="B1277" s="77" t="str">
        <f t="shared" ca="1" si="38"/>
        <v/>
      </c>
      <c r="C1277" s="11" t="str">
        <f t="shared" ca="1" si="39"/>
        <v/>
      </c>
    </row>
    <row r="1278" spans="1:3" x14ac:dyDescent="0.15">
      <c r="A1278" s="79"/>
      <c r="B1278" s="77" t="str">
        <f t="shared" ca="1" si="38"/>
        <v/>
      </c>
      <c r="C1278" s="11" t="str">
        <f t="shared" ca="1" si="39"/>
        <v/>
      </c>
    </row>
    <row r="1279" spans="1:3" x14ac:dyDescent="0.15">
      <c r="A1279" s="79"/>
      <c r="B1279" s="77" t="str">
        <f t="shared" ca="1" si="38"/>
        <v/>
      </c>
      <c r="C1279" s="11" t="str">
        <f t="shared" ca="1" si="39"/>
        <v/>
      </c>
    </row>
    <row r="1280" spans="1:3" x14ac:dyDescent="0.15">
      <c r="A1280" s="79"/>
      <c r="B1280" s="77" t="str">
        <f t="shared" ca="1" si="38"/>
        <v/>
      </c>
      <c r="C1280" s="11" t="str">
        <f t="shared" ca="1" si="39"/>
        <v/>
      </c>
    </row>
    <row r="1281" spans="1:3" x14ac:dyDescent="0.15">
      <c r="A1281" s="79"/>
      <c r="B1281" s="77" t="str">
        <f t="shared" ca="1" si="38"/>
        <v/>
      </c>
      <c r="C1281" s="11" t="str">
        <f t="shared" ca="1" si="39"/>
        <v/>
      </c>
    </row>
    <row r="1282" spans="1:3" x14ac:dyDescent="0.15">
      <c r="A1282" s="79"/>
      <c r="B1282" s="77" t="str">
        <f t="shared" ref="B1282:B1345" ca="1" si="40">IFERROR(VLOOKUP(TEXT(A1282,"00000000"),analysis_table_by_barcode,15,FALSE),"")</f>
        <v/>
      </c>
      <c r="C1282" s="11" t="str">
        <f t="shared" ref="C1282:C1345" ca="1" si="41">IF($B1282&lt;&gt;"", IF(VLOOKUP(B1282, final_to_ministry_result,2,FALSE)&lt;&gt;"",VLOOKUP(B1282, final_to_ministry_result,2,FALSE),""),"")</f>
        <v/>
      </c>
    </row>
    <row r="1283" spans="1:3" x14ac:dyDescent="0.15">
      <c r="A1283" s="79"/>
      <c r="B1283" s="77" t="str">
        <f t="shared" ca="1" si="40"/>
        <v/>
      </c>
      <c r="C1283" s="11" t="str">
        <f t="shared" ca="1" si="41"/>
        <v/>
      </c>
    </row>
    <row r="1284" spans="1:3" x14ac:dyDescent="0.15">
      <c r="A1284" s="79"/>
      <c r="B1284" s="77" t="str">
        <f t="shared" ca="1" si="40"/>
        <v/>
      </c>
      <c r="C1284" s="11" t="str">
        <f t="shared" ca="1" si="41"/>
        <v/>
      </c>
    </row>
    <row r="1285" spans="1:3" x14ac:dyDescent="0.15">
      <c r="A1285" s="79"/>
      <c r="B1285" s="77" t="str">
        <f t="shared" ca="1" si="40"/>
        <v/>
      </c>
      <c r="C1285" s="11" t="str">
        <f t="shared" ca="1" si="41"/>
        <v/>
      </c>
    </row>
    <row r="1286" spans="1:3" x14ac:dyDescent="0.15">
      <c r="A1286" s="79"/>
      <c r="B1286" s="77" t="str">
        <f t="shared" ca="1" si="40"/>
        <v/>
      </c>
      <c r="C1286" s="11" t="str">
        <f t="shared" ca="1" si="41"/>
        <v/>
      </c>
    </row>
    <row r="1287" spans="1:3" x14ac:dyDescent="0.15">
      <c r="A1287" s="79"/>
      <c r="B1287" s="77" t="str">
        <f t="shared" ca="1" si="40"/>
        <v/>
      </c>
      <c r="C1287" s="11" t="str">
        <f t="shared" ca="1" si="41"/>
        <v/>
      </c>
    </row>
    <row r="1288" spans="1:3" x14ac:dyDescent="0.15">
      <c r="A1288" s="79"/>
      <c r="B1288" s="77" t="str">
        <f t="shared" ca="1" si="40"/>
        <v/>
      </c>
      <c r="C1288" s="11" t="str">
        <f t="shared" ca="1" si="41"/>
        <v/>
      </c>
    </row>
    <row r="1289" spans="1:3" x14ac:dyDescent="0.15">
      <c r="A1289" s="79"/>
      <c r="B1289" s="77" t="str">
        <f t="shared" ca="1" si="40"/>
        <v/>
      </c>
      <c r="C1289" s="11" t="str">
        <f t="shared" ca="1" si="41"/>
        <v/>
      </c>
    </row>
    <row r="1290" spans="1:3" x14ac:dyDescent="0.15">
      <c r="A1290" s="79"/>
      <c r="B1290" s="77" t="str">
        <f t="shared" ca="1" si="40"/>
        <v/>
      </c>
      <c r="C1290" s="11" t="str">
        <f t="shared" ca="1" si="41"/>
        <v/>
      </c>
    </row>
    <row r="1291" spans="1:3" x14ac:dyDescent="0.15">
      <c r="A1291" s="79"/>
      <c r="B1291" s="77" t="str">
        <f t="shared" ca="1" si="40"/>
        <v/>
      </c>
      <c r="C1291" s="11" t="str">
        <f t="shared" ca="1" si="41"/>
        <v/>
      </c>
    </row>
    <row r="1292" spans="1:3" x14ac:dyDescent="0.15">
      <c r="A1292" s="79"/>
      <c r="B1292" s="77" t="str">
        <f t="shared" ca="1" si="40"/>
        <v/>
      </c>
      <c r="C1292" s="11" t="str">
        <f t="shared" ca="1" si="41"/>
        <v/>
      </c>
    </row>
    <row r="1293" spans="1:3" x14ac:dyDescent="0.15">
      <c r="A1293" s="79"/>
      <c r="B1293" s="77" t="str">
        <f t="shared" ca="1" si="40"/>
        <v/>
      </c>
      <c r="C1293" s="11" t="str">
        <f t="shared" ca="1" si="41"/>
        <v/>
      </c>
    </row>
    <row r="1294" spans="1:3" x14ac:dyDescent="0.15">
      <c r="A1294" s="79"/>
      <c r="B1294" s="77" t="str">
        <f t="shared" ca="1" si="40"/>
        <v/>
      </c>
      <c r="C1294" s="11" t="str">
        <f t="shared" ca="1" si="41"/>
        <v/>
      </c>
    </row>
    <row r="1295" spans="1:3" x14ac:dyDescent="0.15">
      <c r="A1295" s="79"/>
      <c r="B1295" s="77" t="str">
        <f t="shared" ca="1" si="40"/>
        <v/>
      </c>
      <c r="C1295" s="11" t="str">
        <f t="shared" ca="1" si="41"/>
        <v/>
      </c>
    </row>
    <row r="1296" spans="1:3" x14ac:dyDescent="0.15">
      <c r="A1296" s="79"/>
      <c r="B1296" s="77" t="str">
        <f t="shared" ca="1" si="40"/>
        <v/>
      </c>
      <c r="C1296" s="11" t="str">
        <f t="shared" ca="1" si="41"/>
        <v/>
      </c>
    </row>
    <row r="1297" spans="1:3" x14ac:dyDescent="0.15">
      <c r="A1297" s="79"/>
      <c r="B1297" s="77" t="str">
        <f t="shared" ca="1" si="40"/>
        <v/>
      </c>
      <c r="C1297" s="11" t="str">
        <f t="shared" ca="1" si="41"/>
        <v/>
      </c>
    </row>
    <row r="1298" spans="1:3" x14ac:dyDescent="0.15">
      <c r="A1298" s="79"/>
      <c r="B1298" s="77" t="str">
        <f t="shared" ca="1" si="40"/>
        <v/>
      </c>
      <c r="C1298" s="11" t="str">
        <f t="shared" ca="1" si="41"/>
        <v/>
      </c>
    </row>
    <row r="1299" spans="1:3" x14ac:dyDescent="0.15">
      <c r="A1299" s="79"/>
      <c r="B1299" s="77" t="str">
        <f t="shared" ca="1" si="40"/>
        <v/>
      </c>
      <c r="C1299" s="11" t="str">
        <f t="shared" ca="1" si="41"/>
        <v/>
      </c>
    </row>
    <row r="1300" spans="1:3" x14ac:dyDescent="0.15">
      <c r="A1300" s="79"/>
      <c r="B1300" s="77" t="str">
        <f t="shared" ca="1" si="40"/>
        <v/>
      </c>
      <c r="C1300" s="11" t="str">
        <f t="shared" ca="1" si="41"/>
        <v/>
      </c>
    </row>
    <row r="1301" spans="1:3" x14ac:dyDescent="0.15">
      <c r="A1301" s="79"/>
      <c r="B1301" s="77" t="str">
        <f t="shared" ca="1" si="40"/>
        <v/>
      </c>
      <c r="C1301" s="11" t="str">
        <f t="shared" ca="1" si="41"/>
        <v/>
      </c>
    </row>
    <row r="1302" spans="1:3" x14ac:dyDescent="0.15">
      <c r="A1302" s="79"/>
      <c r="B1302" s="77" t="str">
        <f t="shared" ca="1" si="40"/>
        <v/>
      </c>
      <c r="C1302" s="11" t="str">
        <f t="shared" ca="1" si="41"/>
        <v/>
      </c>
    </row>
    <row r="1303" spans="1:3" x14ac:dyDescent="0.15">
      <c r="A1303" s="79"/>
      <c r="B1303" s="77" t="str">
        <f t="shared" ca="1" si="40"/>
        <v/>
      </c>
      <c r="C1303" s="11" t="str">
        <f t="shared" ca="1" si="41"/>
        <v/>
      </c>
    </row>
    <row r="1304" spans="1:3" x14ac:dyDescent="0.15">
      <c r="A1304" s="79"/>
      <c r="B1304" s="77" t="str">
        <f t="shared" ca="1" si="40"/>
        <v/>
      </c>
      <c r="C1304" s="11" t="str">
        <f t="shared" ca="1" si="41"/>
        <v/>
      </c>
    </row>
    <row r="1305" spans="1:3" x14ac:dyDescent="0.15">
      <c r="A1305" s="79"/>
      <c r="B1305" s="77" t="str">
        <f t="shared" ca="1" si="40"/>
        <v/>
      </c>
      <c r="C1305" s="11" t="str">
        <f t="shared" ca="1" si="41"/>
        <v/>
      </c>
    </row>
    <row r="1306" spans="1:3" x14ac:dyDescent="0.15">
      <c r="A1306" s="79"/>
      <c r="B1306" s="77" t="str">
        <f t="shared" ca="1" si="40"/>
        <v/>
      </c>
      <c r="C1306" s="11" t="str">
        <f t="shared" ca="1" si="41"/>
        <v/>
      </c>
    </row>
    <row r="1307" spans="1:3" x14ac:dyDescent="0.15">
      <c r="A1307" s="79"/>
      <c r="B1307" s="77" t="str">
        <f t="shared" ca="1" si="40"/>
        <v/>
      </c>
      <c r="C1307" s="11" t="str">
        <f t="shared" ca="1" si="41"/>
        <v/>
      </c>
    </row>
    <row r="1308" spans="1:3" x14ac:dyDescent="0.15">
      <c r="A1308" s="79"/>
      <c r="B1308" s="77" t="str">
        <f t="shared" ca="1" si="40"/>
        <v/>
      </c>
      <c r="C1308" s="11" t="str">
        <f t="shared" ca="1" si="41"/>
        <v/>
      </c>
    </row>
    <row r="1309" spans="1:3" x14ac:dyDescent="0.15">
      <c r="A1309" s="79"/>
      <c r="B1309" s="77" t="str">
        <f t="shared" ca="1" si="40"/>
        <v/>
      </c>
      <c r="C1309" s="11" t="str">
        <f t="shared" ca="1" si="41"/>
        <v/>
      </c>
    </row>
    <row r="1310" spans="1:3" x14ac:dyDescent="0.15">
      <c r="A1310" s="79"/>
      <c r="B1310" s="77" t="str">
        <f t="shared" ca="1" si="40"/>
        <v/>
      </c>
      <c r="C1310" s="11" t="str">
        <f t="shared" ca="1" si="41"/>
        <v/>
      </c>
    </row>
    <row r="1311" spans="1:3" x14ac:dyDescent="0.15">
      <c r="A1311" s="79"/>
      <c r="B1311" s="77" t="str">
        <f t="shared" ca="1" si="40"/>
        <v/>
      </c>
      <c r="C1311" s="11" t="str">
        <f t="shared" ca="1" si="41"/>
        <v/>
      </c>
    </row>
    <row r="1312" spans="1:3" x14ac:dyDescent="0.15">
      <c r="A1312" s="79"/>
      <c r="B1312" s="77" t="str">
        <f t="shared" ca="1" si="40"/>
        <v/>
      </c>
      <c r="C1312" s="11" t="str">
        <f t="shared" ca="1" si="41"/>
        <v/>
      </c>
    </row>
    <row r="1313" spans="1:3" x14ac:dyDescent="0.15">
      <c r="A1313" s="79"/>
      <c r="B1313" s="77" t="str">
        <f t="shared" ca="1" si="40"/>
        <v/>
      </c>
      <c r="C1313" s="11" t="str">
        <f t="shared" ca="1" si="41"/>
        <v/>
      </c>
    </row>
    <row r="1314" spans="1:3" x14ac:dyDescent="0.15">
      <c r="A1314" s="79"/>
      <c r="B1314" s="77" t="str">
        <f t="shared" ca="1" si="40"/>
        <v/>
      </c>
      <c r="C1314" s="11" t="str">
        <f t="shared" ca="1" si="41"/>
        <v/>
      </c>
    </row>
    <row r="1315" spans="1:3" x14ac:dyDescent="0.15">
      <c r="A1315" s="79"/>
      <c r="B1315" s="77" t="str">
        <f t="shared" ca="1" si="40"/>
        <v/>
      </c>
      <c r="C1315" s="11" t="str">
        <f t="shared" ca="1" si="41"/>
        <v/>
      </c>
    </row>
    <row r="1316" spans="1:3" x14ac:dyDescent="0.15">
      <c r="A1316" s="79"/>
      <c r="B1316" s="77" t="str">
        <f t="shared" ca="1" si="40"/>
        <v/>
      </c>
      <c r="C1316" s="11" t="str">
        <f t="shared" ca="1" si="41"/>
        <v/>
      </c>
    </row>
    <row r="1317" spans="1:3" x14ac:dyDescent="0.15">
      <c r="A1317" s="79"/>
      <c r="B1317" s="77" t="str">
        <f t="shared" ca="1" si="40"/>
        <v/>
      </c>
      <c r="C1317" s="11" t="str">
        <f t="shared" ca="1" si="41"/>
        <v/>
      </c>
    </row>
    <row r="1318" spans="1:3" x14ac:dyDescent="0.15">
      <c r="A1318" s="79"/>
      <c r="B1318" s="77" t="str">
        <f t="shared" ca="1" si="40"/>
        <v/>
      </c>
      <c r="C1318" s="11" t="str">
        <f t="shared" ca="1" si="41"/>
        <v/>
      </c>
    </row>
    <row r="1319" spans="1:3" x14ac:dyDescent="0.15">
      <c r="A1319" s="79"/>
      <c r="B1319" s="77" t="str">
        <f t="shared" ca="1" si="40"/>
        <v/>
      </c>
      <c r="C1319" s="11" t="str">
        <f t="shared" ca="1" si="41"/>
        <v/>
      </c>
    </row>
    <row r="1320" spans="1:3" x14ac:dyDescent="0.15">
      <c r="A1320" s="79"/>
      <c r="B1320" s="77" t="str">
        <f t="shared" ca="1" si="40"/>
        <v/>
      </c>
      <c r="C1320" s="11" t="str">
        <f t="shared" ca="1" si="41"/>
        <v/>
      </c>
    </row>
    <row r="1321" spans="1:3" x14ac:dyDescent="0.15">
      <c r="A1321" s="79"/>
      <c r="B1321" s="77" t="str">
        <f t="shared" ca="1" si="40"/>
        <v/>
      </c>
      <c r="C1321" s="11" t="str">
        <f t="shared" ca="1" si="41"/>
        <v/>
      </c>
    </row>
    <row r="1322" spans="1:3" x14ac:dyDescent="0.15">
      <c r="A1322" s="79"/>
      <c r="B1322" s="77" t="str">
        <f t="shared" ca="1" si="40"/>
        <v/>
      </c>
      <c r="C1322" s="11" t="str">
        <f t="shared" ca="1" si="41"/>
        <v/>
      </c>
    </row>
    <row r="1323" spans="1:3" x14ac:dyDescent="0.15">
      <c r="A1323" s="79"/>
      <c r="B1323" s="77" t="str">
        <f t="shared" ca="1" si="40"/>
        <v/>
      </c>
      <c r="C1323" s="11" t="str">
        <f t="shared" ca="1" si="41"/>
        <v/>
      </c>
    </row>
    <row r="1324" spans="1:3" x14ac:dyDescent="0.15">
      <c r="A1324" s="79"/>
      <c r="B1324" s="77" t="str">
        <f t="shared" ca="1" si="40"/>
        <v/>
      </c>
      <c r="C1324" s="11" t="str">
        <f t="shared" ca="1" si="41"/>
        <v/>
      </c>
    </row>
    <row r="1325" spans="1:3" x14ac:dyDescent="0.15">
      <c r="A1325" s="79"/>
      <c r="B1325" s="77" t="str">
        <f t="shared" ca="1" si="40"/>
        <v/>
      </c>
      <c r="C1325" s="11" t="str">
        <f t="shared" ca="1" si="41"/>
        <v/>
      </c>
    </row>
    <row r="1326" spans="1:3" x14ac:dyDescent="0.15">
      <c r="A1326" s="79"/>
      <c r="B1326" s="77" t="str">
        <f t="shared" ca="1" si="40"/>
        <v/>
      </c>
      <c r="C1326" s="11" t="str">
        <f t="shared" ca="1" si="41"/>
        <v/>
      </c>
    </row>
    <row r="1327" spans="1:3" x14ac:dyDescent="0.15">
      <c r="A1327" s="79"/>
      <c r="B1327" s="77" t="str">
        <f t="shared" ca="1" si="40"/>
        <v/>
      </c>
      <c r="C1327" s="11" t="str">
        <f t="shared" ca="1" si="41"/>
        <v/>
      </c>
    </row>
    <row r="1328" spans="1:3" x14ac:dyDescent="0.15">
      <c r="A1328" s="79"/>
      <c r="B1328" s="77" t="str">
        <f t="shared" ca="1" si="40"/>
        <v/>
      </c>
      <c r="C1328" s="11" t="str">
        <f t="shared" ca="1" si="41"/>
        <v/>
      </c>
    </row>
    <row r="1329" spans="1:3" x14ac:dyDescent="0.15">
      <c r="A1329" s="79"/>
      <c r="B1329" s="77" t="str">
        <f t="shared" ca="1" si="40"/>
        <v/>
      </c>
      <c r="C1329" s="11" t="str">
        <f t="shared" ca="1" si="41"/>
        <v/>
      </c>
    </row>
    <row r="1330" spans="1:3" x14ac:dyDescent="0.15">
      <c r="A1330" s="79"/>
      <c r="B1330" s="77" t="str">
        <f t="shared" ca="1" si="40"/>
        <v/>
      </c>
      <c r="C1330" s="11" t="str">
        <f t="shared" ca="1" si="41"/>
        <v/>
      </c>
    </row>
    <row r="1331" spans="1:3" x14ac:dyDescent="0.15">
      <c r="A1331" s="79"/>
      <c r="B1331" s="77" t="str">
        <f t="shared" ca="1" si="40"/>
        <v/>
      </c>
      <c r="C1331" s="11" t="str">
        <f t="shared" ca="1" si="41"/>
        <v/>
      </c>
    </row>
    <row r="1332" spans="1:3" x14ac:dyDescent="0.15">
      <c r="A1332" s="79"/>
      <c r="B1332" s="77" t="str">
        <f t="shared" ca="1" si="40"/>
        <v/>
      </c>
      <c r="C1332" s="11" t="str">
        <f t="shared" ca="1" si="41"/>
        <v/>
      </c>
    </row>
    <row r="1333" spans="1:3" x14ac:dyDescent="0.15">
      <c r="A1333" s="79"/>
      <c r="B1333" s="77" t="str">
        <f t="shared" ca="1" si="40"/>
        <v/>
      </c>
      <c r="C1333" s="11" t="str">
        <f t="shared" ca="1" si="41"/>
        <v/>
      </c>
    </row>
    <row r="1334" spans="1:3" x14ac:dyDescent="0.15">
      <c r="A1334" s="79"/>
      <c r="B1334" s="77" t="str">
        <f t="shared" ca="1" si="40"/>
        <v/>
      </c>
      <c r="C1334" s="11" t="str">
        <f t="shared" ca="1" si="41"/>
        <v/>
      </c>
    </row>
    <row r="1335" spans="1:3" x14ac:dyDescent="0.15">
      <c r="A1335" s="79"/>
      <c r="B1335" s="77" t="str">
        <f t="shared" ca="1" si="40"/>
        <v/>
      </c>
      <c r="C1335" s="11" t="str">
        <f t="shared" ca="1" si="41"/>
        <v/>
      </c>
    </row>
    <row r="1336" spans="1:3" x14ac:dyDescent="0.15">
      <c r="A1336" s="79"/>
      <c r="B1336" s="77" t="str">
        <f t="shared" ca="1" si="40"/>
        <v/>
      </c>
      <c r="C1336" s="11" t="str">
        <f t="shared" ca="1" si="41"/>
        <v/>
      </c>
    </row>
    <row r="1337" spans="1:3" x14ac:dyDescent="0.15">
      <c r="A1337" s="79"/>
      <c r="B1337" s="77" t="str">
        <f t="shared" ca="1" si="40"/>
        <v/>
      </c>
      <c r="C1337" s="11" t="str">
        <f t="shared" ca="1" si="41"/>
        <v/>
      </c>
    </row>
    <row r="1338" spans="1:3" x14ac:dyDescent="0.15">
      <c r="A1338" s="79"/>
      <c r="B1338" s="77" t="str">
        <f t="shared" ca="1" si="40"/>
        <v/>
      </c>
      <c r="C1338" s="11" t="str">
        <f t="shared" ca="1" si="41"/>
        <v/>
      </c>
    </row>
    <row r="1339" spans="1:3" x14ac:dyDescent="0.15">
      <c r="A1339" s="79"/>
      <c r="B1339" s="77" t="str">
        <f t="shared" ca="1" si="40"/>
        <v/>
      </c>
      <c r="C1339" s="11" t="str">
        <f t="shared" ca="1" si="41"/>
        <v/>
      </c>
    </row>
    <row r="1340" spans="1:3" x14ac:dyDescent="0.15">
      <c r="A1340" s="79"/>
      <c r="B1340" s="77" t="str">
        <f t="shared" ca="1" si="40"/>
        <v/>
      </c>
      <c r="C1340" s="11" t="str">
        <f t="shared" ca="1" si="41"/>
        <v/>
      </c>
    </row>
    <row r="1341" spans="1:3" x14ac:dyDescent="0.15">
      <c r="A1341" s="79"/>
      <c r="B1341" s="77" t="str">
        <f t="shared" ca="1" si="40"/>
        <v/>
      </c>
      <c r="C1341" s="11" t="str">
        <f t="shared" ca="1" si="41"/>
        <v/>
      </c>
    </row>
    <row r="1342" spans="1:3" x14ac:dyDescent="0.15">
      <c r="A1342" s="79"/>
      <c r="B1342" s="77" t="str">
        <f t="shared" ca="1" si="40"/>
        <v/>
      </c>
      <c r="C1342" s="11" t="str">
        <f t="shared" ca="1" si="41"/>
        <v/>
      </c>
    </row>
    <row r="1343" spans="1:3" x14ac:dyDescent="0.15">
      <c r="A1343" s="79"/>
      <c r="B1343" s="77" t="str">
        <f t="shared" ca="1" si="40"/>
        <v/>
      </c>
      <c r="C1343" s="11" t="str">
        <f t="shared" ca="1" si="41"/>
        <v/>
      </c>
    </row>
    <row r="1344" spans="1:3" x14ac:dyDescent="0.15">
      <c r="A1344" s="79"/>
      <c r="B1344" s="77" t="str">
        <f t="shared" ca="1" si="40"/>
        <v/>
      </c>
      <c r="C1344" s="11" t="str">
        <f t="shared" ca="1" si="41"/>
        <v/>
      </c>
    </row>
    <row r="1345" spans="1:3" x14ac:dyDescent="0.15">
      <c r="A1345" s="79"/>
      <c r="B1345" s="77" t="str">
        <f t="shared" ca="1" si="40"/>
        <v/>
      </c>
      <c r="C1345" s="11" t="str">
        <f t="shared" ca="1" si="41"/>
        <v/>
      </c>
    </row>
    <row r="1346" spans="1:3" x14ac:dyDescent="0.15">
      <c r="A1346" s="79"/>
      <c r="B1346" s="77" t="str">
        <f t="shared" ref="B1346:B1409" ca="1" si="42">IFERROR(VLOOKUP(TEXT(A1346,"00000000"),analysis_table_by_barcode,15,FALSE),"")</f>
        <v/>
      </c>
      <c r="C1346" s="11" t="str">
        <f t="shared" ref="C1346:C1409" ca="1" si="43">IF($B1346&lt;&gt;"", IF(VLOOKUP(B1346, final_to_ministry_result,2,FALSE)&lt;&gt;"",VLOOKUP(B1346, final_to_ministry_result,2,FALSE),""),"")</f>
        <v/>
      </c>
    </row>
    <row r="1347" spans="1:3" x14ac:dyDescent="0.15">
      <c r="A1347" s="79"/>
      <c r="B1347" s="77" t="str">
        <f t="shared" ca="1" si="42"/>
        <v/>
      </c>
      <c r="C1347" s="11" t="str">
        <f t="shared" ca="1" si="43"/>
        <v/>
      </c>
    </row>
    <row r="1348" spans="1:3" x14ac:dyDescent="0.15">
      <c r="A1348" s="79"/>
      <c r="B1348" s="77" t="str">
        <f t="shared" ca="1" si="42"/>
        <v/>
      </c>
      <c r="C1348" s="11" t="str">
        <f t="shared" ca="1" si="43"/>
        <v/>
      </c>
    </row>
    <row r="1349" spans="1:3" x14ac:dyDescent="0.15">
      <c r="A1349" s="79"/>
      <c r="B1349" s="77" t="str">
        <f t="shared" ca="1" si="42"/>
        <v/>
      </c>
      <c r="C1349" s="11" t="str">
        <f t="shared" ca="1" si="43"/>
        <v/>
      </c>
    </row>
    <row r="1350" spans="1:3" x14ac:dyDescent="0.15">
      <c r="A1350" s="79"/>
      <c r="B1350" s="77" t="str">
        <f t="shared" ca="1" si="42"/>
        <v/>
      </c>
      <c r="C1350" s="11" t="str">
        <f t="shared" ca="1" si="43"/>
        <v/>
      </c>
    </row>
    <row r="1351" spans="1:3" x14ac:dyDescent="0.15">
      <c r="A1351" s="79"/>
      <c r="B1351" s="77" t="str">
        <f t="shared" ca="1" si="42"/>
        <v/>
      </c>
      <c r="C1351" s="11" t="str">
        <f t="shared" ca="1" si="43"/>
        <v/>
      </c>
    </row>
    <row r="1352" spans="1:3" x14ac:dyDescent="0.15">
      <c r="A1352" s="79"/>
      <c r="B1352" s="77" t="str">
        <f t="shared" ca="1" si="42"/>
        <v/>
      </c>
      <c r="C1352" s="11" t="str">
        <f t="shared" ca="1" si="43"/>
        <v/>
      </c>
    </row>
    <row r="1353" spans="1:3" x14ac:dyDescent="0.15">
      <c r="A1353" s="79"/>
      <c r="B1353" s="77" t="str">
        <f t="shared" ca="1" si="42"/>
        <v/>
      </c>
      <c r="C1353" s="11" t="str">
        <f t="shared" ca="1" si="43"/>
        <v/>
      </c>
    </row>
    <row r="1354" spans="1:3" x14ac:dyDescent="0.15">
      <c r="A1354" s="79"/>
      <c r="B1354" s="77" t="str">
        <f t="shared" ca="1" si="42"/>
        <v/>
      </c>
      <c r="C1354" s="11" t="str">
        <f t="shared" ca="1" si="43"/>
        <v/>
      </c>
    </row>
    <row r="1355" spans="1:3" x14ac:dyDescent="0.15">
      <c r="A1355" s="79"/>
      <c r="B1355" s="77" t="str">
        <f t="shared" ca="1" si="42"/>
        <v/>
      </c>
      <c r="C1355" s="11" t="str">
        <f t="shared" ca="1" si="43"/>
        <v/>
      </c>
    </row>
    <row r="1356" spans="1:3" x14ac:dyDescent="0.15">
      <c r="A1356" s="79"/>
      <c r="B1356" s="77" t="str">
        <f t="shared" ca="1" si="42"/>
        <v/>
      </c>
      <c r="C1356" s="11" t="str">
        <f t="shared" ca="1" si="43"/>
        <v/>
      </c>
    </row>
    <row r="1357" spans="1:3" x14ac:dyDescent="0.15">
      <c r="A1357" s="79"/>
      <c r="B1357" s="77" t="str">
        <f t="shared" ca="1" si="42"/>
        <v/>
      </c>
      <c r="C1357" s="11" t="str">
        <f t="shared" ca="1" si="43"/>
        <v/>
      </c>
    </row>
    <row r="1358" spans="1:3" x14ac:dyDescent="0.15">
      <c r="A1358" s="79"/>
      <c r="B1358" s="77" t="str">
        <f t="shared" ca="1" si="42"/>
        <v/>
      </c>
      <c r="C1358" s="11" t="str">
        <f t="shared" ca="1" si="43"/>
        <v/>
      </c>
    </row>
    <row r="1359" spans="1:3" x14ac:dyDescent="0.15">
      <c r="A1359" s="79"/>
      <c r="B1359" s="77" t="str">
        <f t="shared" ca="1" si="42"/>
        <v/>
      </c>
      <c r="C1359" s="11" t="str">
        <f t="shared" ca="1" si="43"/>
        <v/>
      </c>
    </row>
    <row r="1360" spans="1:3" x14ac:dyDescent="0.15">
      <c r="A1360" s="79"/>
      <c r="B1360" s="77" t="str">
        <f t="shared" ca="1" si="42"/>
        <v/>
      </c>
      <c r="C1360" s="11" t="str">
        <f t="shared" ca="1" si="43"/>
        <v/>
      </c>
    </row>
    <row r="1361" spans="1:3" x14ac:dyDescent="0.15">
      <c r="A1361" s="79"/>
      <c r="B1361" s="77" t="str">
        <f t="shared" ca="1" si="42"/>
        <v/>
      </c>
      <c r="C1361" s="11" t="str">
        <f t="shared" ca="1" si="43"/>
        <v/>
      </c>
    </row>
    <row r="1362" spans="1:3" x14ac:dyDescent="0.15">
      <c r="A1362" s="79"/>
      <c r="B1362" s="77" t="str">
        <f t="shared" ca="1" si="42"/>
        <v/>
      </c>
      <c r="C1362" s="11" t="str">
        <f t="shared" ca="1" si="43"/>
        <v/>
      </c>
    </row>
    <row r="1363" spans="1:3" x14ac:dyDescent="0.15">
      <c r="A1363" s="79"/>
      <c r="B1363" s="77" t="str">
        <f t="shared" ca="1" si="42"/>
        <v/>
      </c>
      <c r="C1363" s="11" t="str">
        <f t="shared" ca="1" si="43"/>
        <v/>
      </c>
    </row>
    <row r="1364" spans="1:3" x14ac:dyDescent="0.15">
      <c r="A1364" s="79"/>
      <c r="B1364" s="77" t="str">
        <f t="shared" ca="1" si="42"/>
        <v/>
      </c>
      <c r="C1364" s="11" t="str">
        <f t="shared" ca="1" si="43"/>
        <v/>
      </c>
    </row>
    <row r="1365" spans="1:3" x14ac:dyDescent="0.15">
      <c r="A1365" s="79"/>
      <c r="B1365" s="77" t="str">
        <f t="shared" ca="1" si="42"/>
        <v/>
      </c>
      <c r="C1365" s="11" t="str">
        <f t="shared" ca="1" si="43"/>
        <v/>
      </c>
    </row>
    <row r="1366" spans="1:3" x14ac:dyDescent="0.15">
      <c r="A1366" s="79"/>
      <c r="B1366" s="77" t="str">
        <f t="shared" ca="1" si="42"/>
        <v/>
      </c>
      <c r="C1366" s="11" t="str">
        <f t="shared" ca="1" si="43"/>
        <v/>
      </c>
    </row>
    <row r="1367" spans="1:3" x14ac:dyDescent="0.15">
      <c r="A1367" s="79"/>
      <c r="B1367" s="77" t="str">
        <f t="shared" ca="1" si="42"/>
        <v/>
      </c>
      <c r="C1367" s="11" t="str">
        <f t="shared" ca="1" si="43"/>
        <v/>
      </c>
    </row>
    <row r="1368" spans="1:3" x14ac:dyDescent="0.15">
      <c r="A1368" s="79"/>
      <c r="B1368" s="77" t="str">
        <f t="shared" ca="1" si="42"/>
        <v/>
      </c>
      <c r="C1368" s="11" t="str">
        <f t="shared" ca="1" si="43"/>
        <v/>
      </c>
    </row>
    <row r="1369" spans="1:3" x14ac:dyDescent="0.15">
      <c r="A1369" s="79"/>
      <c r="B1369" s="77" t="str">
        <f t="shared" ca="1" si="42"/>
        <v/>
      </c>
      <c r="C1369" s="11" t="str">
        <f t="shared" ca="1" si="43"/>
        <v/>
      </c>
    </row>
    <row r="1370" spans="1:3" x14ac:dyDescent="0.15">
      <c r="A1370" s="79"/>
      <c r="B1370" s="77" t="str">
        <f t="shared" ca="1" si="42"/>
        <v/>
      </c>
      <c r="C1370" s="11" t="str">
        <f t="shared" ca="1" si="43"/>
        <v/>
      </c>
    </row>
    <row r="1371" spans="1:3" x14ac:dyDescent="0.15">
      <c r="A1371" s="79"/>
      <c r="B1371" s="77" t="str">
        <f t="shared" ca="1" si="42"/>
        <v/>
      </c>
      <c r="C1371" s="11" t="str">
        <f t="shared" ca="1" si="43"/>
        <v/>
      </c>
    </row>
    <row r="1372" spans="1:3" x14ac:dyDescent="0.15">
      <c r="A1372" s="79"/>
      <c r="B1372" s="77" t="str">
        <f t="shared" ca="1" si="42"/>
        <v/>
      </c>
      <c r="C1372" s="11" t="str">
        <f t="shared" ca="1" si="43"/>
        <v/>
      </c>
    </row>
    <row r="1373" spans="1:3" x14ac:dyDescent="0.15">
      <c r="A1373" s="79"/>
      <c r="B1373" s="77" t="str">
        <f t="shared" ca="1" si="42"/>
        <v/>
      </c>
      <c r="C1373" s="11" t="str">
        <f t="shared" ca="1" si="43"/>
        <v/>
      </c>
    </row>
    <row r="1374" spans="1:3" x14ac:dyDescent="0.15">
      <c r="A1374" s="79"/>
      <c r="B1374" s="77" t="str">
        <f t="shared" ca="1" si="42"/>
        <v/>
      </c>
      <c r="C1374" s="11" t="str">
        <f t="shared" ca="1" si="43"/>
        <v/>
      </c>
    </row>
    <row r="1375" spans="1:3" x14ac:dyDescent="0.15">
      <c r="A1375" s="79"/>
      <c r="B1375" s="77" t="str">
        <f t="shared" ca="1" si="42"/>
        <v/>
      </c>
      <c r="C1375" s="11" t="str">
        <f t="shared" ca="1" si="43"/>
        <v/>
      </c>
    </row>
    <row r="1376" spans="1:3" x14ac:dyDescent="0.15">
      <c r="A1376" s="79"/>
      <c r="B1376" s="77" t="str">
        <f t="shared" ca="1" si="42"/>
        <v/>
      </c>
      <c r="C1376" s="11" t="str">
        <f t="shared" ca="1" si="43"/>
        <v/>
      </c>
    </row>
    <row r="1377" spans="1:3" x14ac:dyDescent="0.15">
      <c r="A1377" s="79"/>
      <c r="B1377" s="77" t="str">
        <f t="shared" ca="1" si="42"/>
        <v/>
      </c>
      <c r="C1377" s="11" t="str">
        <f t="shared" ca="1" si="43"/>
        <v/>
      </c>
    </row>
    <row r="1378" spans="1:3" x14ac:dyDescent="0.15">
      <c r="A1378" s="79"/>
      <c r="B1378" s="77" t="str">
        <f t="shared" ca="1" si="42"/>
        <v/>
      </c>
      <c r="C1378" s="11" t="str">
        <f t="shared" ca="1" si="43"/>
        <v/>
      </c>
    </row>
    <row r="1379" spans="1:3" x14ac:dyDescent="0.15">
      <c r="A1379" s="79"/>
      <c r="B1379" s="77" t="str">
        <f t="shared" ca="1" si="42"/>
        <v/>
      </c>
      <c r="C1379" s="11" t="str">
        <f t="shared" ca="1" si="43"/>
        <v/>
      </c>
    </row>
    <row r="1380" spans="1:3" x14ac:dyDescent="0.15">
      <c r="A1380" s="79"/>
      <c r="B1380" s="77" t="str">
        <f t="shared" ca="1" si="42"/>
        <v/>
      </c>
      <c r="C1380" s="11" t="str">
        <f t="shared" ca="1" si="43"/>
        <v/>
      </c>
    </row>
    <row r="1381" spans="1:3" x14ac:dyDescent="0.15">
      <c r="A1381" s="79"/>
      <c r="B1381" s="77" t="str">
        <f t="shared" ca="1" si="42"/>
        <v/>
      </c>
      <c r="C1381" s="11" t="str">
        <f t="shared" ca="1" si="43"/>
        <v/>
      </c>
    </row>
    <row r="1382" spans="1:3" x14ac:dyDescent="0.15">
      <c r="A1382" s="79"/>
      <c r="B1382" s="77" t="str">
        <f t="shared" ca="1" si="42"/>
        <v/>
      </c>
      <c r="C1382" s="11" t="str">
        <f t="shared" ca="1" si="43"/>
        <v/>
      </c>
    </row>
    <row r="1383" spans="1:3" x14ac:dyDescent="0.15">
      <c r="A1383" s="79"/>
      <c r="B1383" s="77" t="str">
        <f t="shared" ca="1" si="42"/>
        <v/>
      </c>
      <c r="C1383" s="11" t="str">
        <f t="shared" ca="1" si="43"/>
        <v/>
      </c>
    </row>
    <row r="1384" spans="1:3" x14ac:dyDescent="0.15">
      <c r="A1384" s="79"/>
      <c r="B1384" s="77" t="str">
        <f t="shared" ca="1" si="42"/>
        <v/>
      </c>
      <c r="C1384" s="11" t="str">
        <f t="shared" ca="1" si="43"/>
        <v/>
      </c>
    </row>
    <row r="1385" spans="1:3" x14ac:dyDescent="0.15">
      <c r="A1385" s="79"/>
      <c r="B1385" s="77" t="str">
        <f t="shared" ca="1" si="42"/>
        <v/>
      </c>
      <c r="C1385" s="11" t="str">
        <f t="shared" ca="1" si="43"/>
        <v/>
      </c>
    </row>
    <row r="1386" spans="1:3" x14ac:dyDescent="0.15">
      <c r="A1386" s="79"/>
      <c r="B1386" s="77" t="str">
        <f t="shared" ca="1" si="42"/>
        <v/>
      </c>
      <c r="C1386" s="11" t="str">
        <f t="shared" ca="1" si="43"/>
        <v/>
      </c>
    </row>
    <row r="1387" spans="1:3" x14ac:dyDescent="0.15">
      <c r="A1387" s="79"/>
      <c r="B1387" s="77" t="str">
        <f t="shared" ca="1" si="42"/>
        <v/>
      </c>
      <c r="C1387" s="11" t="str">
        <f t="shared" ca="1" si="43"/>
        <v/>
      </c>
    </row>
    <row r="1388" spans="1:3" x14ac:dyDescent="0.15">
      <c r="A1388" s="79"/>
      <c r="B1388" s="77" t="str">
        <f t="shared" ca="1" si="42"/>
        <v/>
      </c>
      <c r="C1388" s="11" t="str">
        <f t="shared" ca="1" si="43"/>
        <v/>
      </c>
    </row>
    <row r="1389" spans="1:3" x14ac:dyDescent="0.15">
      <c r="A1389" s="79"/>
      <c r="B1389" s="77" t="str">
        <f t="shared" ca="1" si="42"/>
        <v/>
      </c>
      <c r="C1389" s="11" t="str">
        <f t="shared" ca="1" si="43"/>
        <v/>
      </c>
    </row>
    <row r="1390" spans="1:3" x14ac:dyDescent="0.15">
      <c r="A1390" s="79"/>
      <c r="B1390" s="77" t="str">
        <f t="shared" ca="1" si="42"/>
        <v/>
      </c>
      <c r="C1390" s="11" t="str">
        <f t="shared" ca="1" si="43"/>
        <v/>
      </c>
    </row>
    <row r="1391" spans="1:3" x14ac:dyDescent="0.15">
      <c r="A1391" s="79"/>
      <c r="B1391" s="77" t="str">
        <f t="shared" ca="1" si="42"/>
        <v/>
      </c>
      <c r="C1391" s="11" t="str">
        <f t="shared" ca="1" si="43"/>
        <v/>
      </c>
    </row>
    <row r="1392" spans="1:3" x14ac:dyDescent="0.15">
      <c r="A1392" s="79"/>
      <c r="B1392" s="77" t="str">
        <f t="shared" ca="1" si="42"/>
        <v/>
      </c>
      <c r="C1392" s="11" t="str">
        <f t="shared" ca="1" si="43"/>
        <v/>
      </c>
    </row>
    <row r="1393" spans="1:3" x14ac:dyDescent="0.15">
      <c r="A1393" s="79"/>
      <c r="B1393" s="77" t="str">
        <f t="shared" ca="1" si="42"/>
        <v/>
      </c>
      <c r="C1393" s="11" t="str">
        <f t="shared" ca="1" si="43"/>
        <v/>
      </c>
    </row>
    <row r="1394" spans="1:3" x14ac:dyDescent="0.15">
      <c r="A1394" s="79"/>
      <c r="B1394" s="77" t="str">
        <f t="shared" ca="1" si="42"/>
        <v/>
      </c>
      <c r="C1394" s="11" t="str">
        <f t="shared" ca="1" si="43"/>
        <v/>
      </c>
    </row>
    <row r="1395" spans="1:3" x14ac:dyDescent="0.15">
      <c r="A1395" s="79"/>
      <c r="B1395" s="77" t="str">
        <f t="shared" ca="1" si="42"/>
        <v/>
      </c>
      <c r="C1395" s="11" t="str">
        <f t="shared" ca="1" si="43"/>
        <v/>
      </c>
    </row>
    <row r="1396" spans="1:3" x14ac:dyDescent="0.15">
      <c r="A1396" s="79"/>
      <c r="B1396" s="77" t="str">
        <f t="shared" ca="1" si="42"/>
        <v/>
      </c>
      <c r="C1396" s="11" t="str">
        <f t="shared" ca="1" si="43"/>
        <v/>
      </c>
    </row>
    <row r="1397" spans="1:3" x14ac:dyDescent="0.15">
      <c r="A1397" s="79"/>
      <c r="B1397" s="77" t="str">
        <f t="shared" ca="1" si="42"/>
        <v/>
      </c>
      <c r="C1397" s="11" t="str">
        <f t="shared" ca="1" si="43"/>
        <v/>
      </c>
    </row>
    <row r="1398" spans="1:3" x14ac:dyDescent="0.15">
      <c r="A1398" s="79"/>
      <c r="B1398" s="77" t="str">
        <f t="shared" ca="1" si="42"/>
        <v/>
      </c>
      <c r="C1398" s="11" t="str">
        <f t="shared" ca="1" si="43"/>
        <v/>
      </c>
    </row>
    <row r="1399" spans="1:3" x14ac:dyDescent="0.15">
      <c r="A1399" s="79"/>
      <c r="B1399" s="77" t="str">
        <f t="shared" ca="1" si="42"/>
        <v/>
      </c>
      <c r="C1399" s="11" t="str">
        <f t="shared" ca="1" si="43"/>
        <v/>
      </c>
    </row>
    <row r="1400" spans="1:3" x14ac:dyDescent="0.15">
      <c r="A1400" s="79"/>
      <c r="B1400" s="77" t="str">
        <f t="shared" ca="1" si="42"/>
        <v/>
      </c>
      <c r="C1400" s="11" t="str">
        <f t="shared" ca="1" si="43"/>
        <v/>
      </c>
    </row>
    <row r="1401" spans="1:3" x14ac:dyDescent="0.15">
      <c r="A1401" s="79"/>
      <c r="B1401" s="77" t="str">
        <f t="shared" ca="1" si="42"/>
        <v/>
      </c>
      <c r="C1401" s="11" t="str">
        <f t="shared" ca="1" si="43"/>
        <v/>
      </c>
    </row>
    <row r="1402" spans="1:3" x14ac:dyDescent="0.15">
      <c r="A1402" s="79"/>
      <c r="B1402" s="77" t="str">
        <f t="shared" ca="1" si="42"/>
        <v/>
      </c>
      <c r="C1402" s="11" t="str">
        <f t="shared" ca="1" si="43"/>
        <v/>
      </c>
    </row>
    <row r="1403" spans="1:3" x14ac:dyDescent="0.15">
      <c r="A1403" s="79"/>
      <c r="B1403" s="77" t="str">
        <f t="shared" ca="1" si="42"/>
        <v/>
      </c>
      <c r="C1403" s="11" t="str">
        <f t="shared" ca="1" si="43"/>
        <v/>
      </c>
    </row>
    <row r="1404" spans="1:3" x14ac:dyDescent="0.15">
      <c r="A1404" s="79"/>
      <c r="B1404" s="77" t="str">
        <f t="shared" ca="1" si="42"/>
        <v/>
      </c>
      <c r="C1404" s="11" t="str">
        <f t="shared" ca="1" si="43"/>
        <v/>
      </c>
    </row>
    <row r="1405" spans="1:3" x14ac:dyDescent="0.15">
      <c r="A1405" s="79"/>
      <c r="B1405" s="77" t="str">
        <f t="shared" ca="1" si="42"/>
        <v/>
      </c>
      <c r="C1405" s="11" t="str">
        <f t="shared" ca="1" si="43"/>
        <v/>
      </c>
    </row>
    <row r="1406" spans="1:3" x14ac:dyDescent="0.15">
      <c r="A1406" s="79"/>
      <c r="B1406" s="77" t="str">
        <f t="shared" ca="1" si="42"/>
        <v/>
      </c>
      <c r="C1406" s="11" t="str">
        <f t="shared" ca="1" si="43"/>
        <v/>
      </c>
    </row>
    <row r="1407" spans="1:3" x14ac:dyDescent="0.15">
      <c r="A1407" s="79"/>
      <c r="B1407" s="77" t="str">
        <f t="shared" ca="1" si="42"/>
        <v/>
      </c>
      <c r="C1407" s="11" t="str">
        <f t="shared" ca="1" si="43"/>
        <v/>
      </c>
    </row>
    <row r="1408" spans="1:3" x14ac:dyDescent="0.15">
      <c r="A1408" s="79"/>
      <c r="B1408" s="77" t="str">
        <f t="shared" ca="1" si="42"/>
        <v/>
      </c>
      <c r="C1408" s="11" t="str">
        <f t="shared" ca="1" si="43"/>
        <v/>
      </c>
    </row>
    <row r="1409" spans="1:3" x14ac:dyDescent="0.15">
      <c r="A1409" s="79"/>
      <c r="B1409" s="77" t="str">
        <f t="shared" ca="1" si="42"/>
        <v/>
      </c>
      <c r="C1409" s="11" t="str">
        <f t="shared" ca="1" si="43"/>
        <v/>
      </c>
    </row>
    <row r="1410" spans="1:3" x14ac:dyDescent="0.15">
      <c r="A1410" s="79"/>
      <c r="B1410" s="77" t="str">
        <f t="shared" ref="B1410:B1473" ca="1" si="44">IFERROR(VLOOKUP(TEXT(A1410,"00000000"),analysis_table_by_barcode,15,FALSE),"")</f>
        <v/>
      </c>
      <c r="C1410" s="11" t="str">
        <f t="shared" ref="C1410:C1473" ca="1" si="45">IF($B1410&lt;&gt;"", IF(VLOOKUP(B1410, final_to_ministry_result,2,FALSE)&lt;&gt;"",VLOOKUP(B1410, final_to_ministry_result,2,FALSE),""),"")</f>
        <v/>
      </c>
    </row>
    <row r="1411" spans="1:3" x14ac:dyDescent="0.15">
      <c r="A1411" s="79"/>
      <c r="B1411" s="77" t="str">
        <f t="shared" ca="1" si="44"/>
        <v/>
      </c>
      <c r="C1411" s="11" t="str">
        <f t="shared" ca="1" si="45"/>
        <v/>
      </c>
    </row>
    <row r="1412" spans="1:3" x14ac:dyDescent="0.15">
      <c r="A1412" s="79"/>
      <c r="B1412" s="77" t="str">
        <f t="shared" ca="1" si="44"/>
        <v/>
      </c>
      <c r="C1412" s="11" t="str">
        <f t="shared" ca="1" si="45"/>
        <v/>
      </c>
    </row>
    <row r="1413" spans="1:3" x14ac:dyDescent="0.15">
      <c r="A1413" s="79"/>
      <c r="B1413" s="77" t="str">
        <f t="shared" ca="1" si="44"/>
        <v/>
      </c>
      <c r="C1413" s="11" t="str">
        <f t="shared" ca="1" si="45"/>
        <v/>
      </c>
    </row>
    <row r="1414" spans="1:3" x14ac:dyDescent="0.15">
      <c r="A1414" s="79"/>
      <c r="B1414" s="77" t="str">
        <f t="shared" ca="1" si="44"/>
        <v/>
      </c>
      <c r="C1414" s="11" t="str">
        <f t="shared" ca="1" si="45"/>
        <v/>
      </c>
    </row>
    <row r="1415" spans="1:3" x14ac:dyDescent="0.15">
      <c r="A1415" s="79"/>
      <c r="B1415" s="77" t="str">
        <f t="shared" ca="1" si="44"/>
        <v/>
      </c>
      <c r="C1415" s="11" t="str">
        <f t="shared" ca="1" si="45"/>
        <v/>
      </c>
    </row>
    <row r="1416" spans="1:3" x14ac:dyDescent="0.15">
      <c r="A1416" s="79"/>
      <c r="B1416" s="77" t="str">
        <f t="shared" ca="1" si="44"/>
        <v/>
      </c>
      <c r="C1416" s="11" t="str">
        <f t="shared" ca="1" si="45"/>
        <v/>
      </c>
    </row>
    <row r="1417" spans="1:3" x14ac:dyDescent="0.15">
      <c r="A1417" s="79"/>
      <c r="B1417" s="77" t="str">
        <f t="shared" ca="1" si="44"/>
        <v/>
      </c>
      <c r="C1417" s="11" t="str">
        <f t="shared" ca="1" si="45"/>
        <v/>
      </c>
    </row>
    <row r="1418" spans="1:3" x14ac:dyDescent="0.15">
      <c r="A1418" s="79"/>
      <c r="B1418" s="77" t="str">
        <f t="shared" ca="1" si="44"/>
        <v/>
      </c>
      <c r="C1418" s="11" t="str">
        <f t="shared" ca="1" si="45"/>
        <v/>
      </c>
    </row>
    <row r="1419" spans="1:3" x14ac:dyDescent="0.15">
      <c r="A1419" s="79"/>
      <c r="B1419" s="77" t="str">
        <f t="shared" ca="1" si="44"/>
        <v/>
      </c>
      <c r="C1419" s="11" t="str">
        <f t="shared" ca="1" si="45"/>
        <v/>
      </c>
    </row>
    <row r="1420" spans="1:3" x14ac:dyDescent="0.15">
      <c r="A1420" s="79"/>
      <c r="B1420" s="77" t="str">
        <f t="shared" ca="1" si="44"/>
        <v/>
      </c>
      <c r="C1420" s="11" t="str">
        <f t="shared" ca="1" si="45"/>
        <v/>
      </c>
    </row>
    <row r="1421" spans="1:3" x14ac:dyDescent="0.15">
      <c r="A1421" s="79"/>
      <c r="B1421" s="77" t="str">
        <f t="shared" ca="1" si="44"/>
        <v/>
      </c>
      <c r="C1421" s="11" t="str">
        <f t="shared" ca="1" si="45"/>
        <v/>
      </c>
    </row>
    <row r="1422" spans="1:3" x14ac:dyDescent="0.15">
      <c r="A1422" s="79"/>
      <c r="B1422" s="77" t="str">
        <f t="shared" ca="1" si="44"/>
        <v/>
      </c>
      <c r="C1422" s="11" t="str">
        <f t="shared" ca="1" si="45"/>
        <v/>
      </c>
    </row>
    <row r="1423" spans="1:3" x14ac:dyDescent="0.15">
      <c r="A1423" s="79"/>
      <c r="B1423" s="77" t="str">
        <f t="shared" ca="1" si="44"/>
        <v/>
      </c>
      <c r="C1423" s="11" t="str">
        <f t="shared" ca="1" si="45"/>
        <v/>
      </c>
    </row>
    <row r="1424" spans="1:3" x14ac:dyDescent="0.15">
      <c r="A1424" s="79"/>
      <c r="B1424" s="77" t="str">
        <f t="shared" ca="1" si="44"/>
        <v/>
      </c>
      <c r="C1424" s="11" t="str">
        <f t="shared" ca="1" si="45"/>
        <v/>
      </c>
    </row>
    <row r="1425" spans="1:3" x14ac:dyDescent="0.15">
      <c r="A1425" s="79"/>
      <c r="B1425" s="77" t="str">
        <f t="shared" ca="1" si="44"/>
        <v/>
      </c>
      <c r="C1425" s="11" t="str">
        <f t="shared" ca="1" si="45"/>
        <v/>
      </c>
    </row>
    <row r="1426" spans="1:3" x14ac:dyDescent="0.15">
      <c r="A1426" s="79"/>
      <c r="B1426" s="77" t="str">
        <f t="shared" ca="1" si="44"/>
        <v/>
      </c>
      <c r="C1426" s="11" t="str">
        <f t="shared" ca="1" si="45"/>
        <v/>
      </c>
    </row>
    <row r="1427" spans="1:3" x14ac:dyDescent="0.15">
      <c r="A1427" s="79"/>
      <c r="B1427" s="77" t="str">
        <f t="shared" ca="1" si="44"/>
        <v/>
      </c>
      <c r="C1427" s="11" t="str">
        <f t="shared" ca="1" si="45"/>
        <v/>
      </c>
    </row>
    <row r="1428" spans="1:3" x14ac:dyDescent="0.15">
      <c r="A1428" s="79"/>
      <c r="B1428" s="77" t="str">
        <f t="shared" ca="1" si="44"/>
        <v/>
      </c>
      <c r="C1428" s="11" t="str">
        <f t="shared" ca="1" si="45"/>
        <v/>
      </c>
    </row>
    <row r="1429" spans="1:3" x14ac:dyDescent="0.15">
      <c r="A1429" s="79"/>
      <c r="B1429" s="77" t="str">
        <f t="shared" ca="1" si="44"/>
        <v/>
      </c>
      <c r="C1429" s="11" t="str">
        <f t="shared" ca="1" si="45"/>
        <v/>
      </c>
    </row>
    <row r="1430" spans="1:3" x14ac:dyDescent="0.15">
      <c r="A1430" s="79"/>
      <c r="B1430" s="77" t="str">
        <f t="shared" ca="1" si="44"/>
        <v/>
      </c>
      <c r="C1430" s="11" t="str">
        <f t="shared" ca="1" si="45"/>
        <v/>
      </c>
    </row>
    <row r="1431" spans="1:3" x14ac:dyDescent="0.15">
      <c r="A1431" s="79"/>
      <c r="B1431" s="77" t="str">
        <f t="shared" ca="1" si="44"/>
        <v/>
      </c>
      <c r="C1431" s="11" t="str">
        <f t="shared" ca="1" si="45"/>
        <v/>
      </c>
    </row>
    <row r="1432" spans="1:3" x14ac:dyDescent="0.15">
      <c r="A1432" s="79"/>
      <c r="B1432" s="77" t="str">
        <f t="shared" ca="1" si="44"/>
        <v/>
      </c>
      <c r="C1432" s="11" t="str">
        <f t="shared" ca="1" si="45"/>
        <v/>
      </c>
    </row>
    <row r="1433" spans="1:3" x14ac:dyDescent="0.15">
      <c r="A1433" s="79"/>
      <c r="B1433" s="77" t="str">
        <f t="shared" ca="1" si="44"/>
        <v/>
      </c>
      <c r="C1433" s="11" t="str">
        <f t="shared" ca="1" si="45"/>
        <v/>
      </c>
    </row>
    <row r="1434" spans="1:3" x14ac:dyDescent="0.15">
      <c r="A1434" s="79"/>
      <c r="B1434" s="77" t="str">
        <f t="shared" ca="1" si="44"/>
        <v/>
      </c>
      <c r="C1434" s="11" t="str">
        <f t="shared" ca="1" si="45"/>
        <v/>
      </c>
    </row>
    <row r="1435" spans="1:3" x14ac:dyDescent="0.15">
      <c r="A1435" s="79"/>
      <c r="B1435" s="77" t="str">
        <f t="shared" ca="1" si="44"/>
        <v/>
      </c>
      <c r="C1435" s="11" t="str">
        <f t="shared" ca="1" si="45"/>
        <v/>
      </c>
    </row>
    <row r="1436" spans="1:3" x14ac:dyDescent="0.15">
      <c r="A1436" s="79"/>
      <c r="B1436" s="77" t="str">
        <f t="shared" ca="1" si="44"/>
        <v/>
      </c>
      <c r="C1436" s="11" t="str">
        <f t="shared" ca="1" si="45"/>
        <v/>
      </c>
    </row>
    <row r="1437" spans="1:3" x14ac:dyDescent="0.15">
      <c r="A1437" s="79"/>
      <c r="B1437" s="77" t="str">
        <f t="shared" ca="1" si="44"/>
        <v/>
      </c>
      <c r="C1437" s="11" t="str">
        <f t="shared" ca="1" si="45"/>
        <v/>
      </c>
    </row>
    <row r="1438" spans="1:3" x14ac:dyDescent="0.15">
      <c r="A1438" s="79"/>
      <c r="B1438" s="77" t="str">
        <f t="shared" ca="1" si="44"/>
        <v/>
      </c>
      <c r="C1438" s="11" t="str">
        <f t="shared" ca="1" si="45"/>
        <v/>
      </c>
    </row>
    <row r="1439" spans="1:3" x14ac:dyDescent="0.15">
      <c r="A1439" s="79"/>
      <c r="B1439" s="77" t="str">
        <f t="shared" ca="1" si="44"/>
        <v/>
      </c>
      <c r="C1439" s="11" t="str">
        <f t="shared" ca="1" si="45"/>
        <v/>
      </c>
    </row>
    <row r="1440" spans="1:3" x14ac:dyDescent="0.15">
      <c r="A1440" s="79"/>
      <c r="B1440" s="77" t="str">
        <f t="shared" ca="1" si="44"/>
        <v/>
      </c>
      <c r="C1440" s="11" t="str">
        <f t="shared" ca="1" si="45"/>
        <v/>
      </c>
    </row>
    <row r="1441" spans="1:3" x14ac:dyDescent="0.15">
      <c r="A1441" s="79"/>
      <c r="B1441" s="77" t="str">
        <f t="shared" ca="1" si="44"/>
        <v/>
      </c>
      <c r="C1441" s="11" t="str">
        <f t="shared" ca="1" si="45"/>
        <v/>
      </c>
    </row>
    <row r="1442" spans="1:3" x14ac:dyDescent="0.15">
      <c r="A1442" s="79"/>
      <c r="B1442" s="77" t="str">
        <f t="shared" ca="1" si="44"/>
        <v/>
      </c>
      <c r="C1442" s="11" t="str">
        <f t="shared" ca="1" si="45"/>
        <v/>
      </c>
    </row>
    <row r="1443" spans="1:3" x14ac:dyDescent="0.15">
      <c r="A1443" s="79"/>
      <c r="B1443" s="77" t="str">
        <f t="shared" ca="1" si="44"/>
        <v/>
      </c>
      <c r="C1443" s="11" t="str">
        <f t="shared" ca="1" si="45"/>
        <v/>
      </c>
    </row>
    <row r="1444" spans="1:3" x14ac:dyDescent="0.15">
      <c r="A1444" s="79"/>
      <c r="B1444" s="77" t="str">
        <f t="shared" ca="1" si="44"/>
        <v/>
      </c>
      <c r="C1444" s="11" t="str">
        <f t="shared" ca="1" si="45"/>
        <v/>
      </c>
    </row>
    <row r="1445" spans="1:3" x14ac:dyDescent="0.15">
      <c r="A1445" s="79"/>
      <c r="B1445" s="77" t="str">
        <f t="shared" ca="1" si="44"/>
        <v/>
      </c>
      <c r="C1445" s="11" t="str">
        <f t="shared" ca="1" si="45"/>
        <v/>
      </c>
    </row>
    <row r="1446" spans="1:3" x14ac:dyDescent="0.15">
      <c r="A1446" s="79"/>
      <c r="B1446" s="77" t="str">
        <f t="shared" ca="1" si="44"/>
        <v/>
      </c>
      <c r="C1446" s="11" t="str">
        <f t="shared" ca="1" si="45"/>
        <v/>
      </c>
    </row>
    <row r="1447" spans="1:3" x14ac:dyDescent="0.15">
      <c r="A1447" s="79"/>
      <c r="B1447" s="77" t="str">
        <f t="shared" ca="1" si="44"/>
        <v/>
      </c>
      <c r="C1447" s="11" t="str">
        <f t="shared" ca="1" si="45"/>
        <v/>
      </c>
    </row>
    <row r="1448" spans="1:3" x14ac:dyDescent="0.15">
      <c r="A1448" s="79"/>
      <c r="B1448" s="77" t="str">
        <f t="shared" ca="1" si="44"/>
        <v/>
      </c>
      <c r="C1448" s="11" t="str">
        <f t="shared" ca="1" si="45"/>
        <v/>
      </c>
    </row>
    <row r="1449" spans="1:3" x14ac:dyDescent="0.15">
      <c r="A1449" s="79"/>
      <c r="B1449" s="77" t="str">
        <f t="shared" ca="1" si="44"/>
        <v/>
      </c>
      <c r="C1449" s="11" t="str">
        <f t="shared" ca="1" si="45"/>
        <v/>
      </c>
    </row>
    <row r="1450" spans="1:3" x14ac:dyDescent="0.15">
      <c r="A1450" s="79"/>
      <c r="B1450" s="77" t="str">
        <f t="shared" ca="1" si="44"/>
        <v/>
      </c>
      <c r="C1450" s="11" t="str">
        <f t="shared" ca="1" si="45"/>
        <v/>
      </c>
    </row>
    <row r="1451" spans="1:3" x14ac:dyDescent="0.15">
      <c r="A1451" s="79"/>
      <c r="B1451" s="77" t="str">
        <f t="shared" ca="1" si="44"/>
        <v/>
      </c>
      <c r="C1451" s="11" t="str">
        <f t="shared" ca="1" si="45"/>
        <v/>
      </c>
    </row>
    <row r="1452" spans="1:3" x14ac:dyDescent="0.15">
      <c r="A1452" s="79"/>
      <c r="B1452" s="77" t="str">
        <f t="shared" ca="1" si="44"/>
        <v/>
      </c>
      <c r="C1452" s="11" t="str">
        <f t="shared" ca="1" si="45"/>
        <v/>
      </c>
    </row>
    <row r="1453" spans="1:3" x14ac:dyDescent="0.15">
      <c r="A1453" s="79"/>
      <c r="B1453" s="77" t="str">
        <f t="shared" ca="1" si="44"/>
        <v/>
      </c>
      <c r="C1453" s="11" t="str">
        <f t="shared" ca="1" si="45"/>
        <v/>
      </c>
    </row>
    <row r="1454" spans="1:3" x14ac:dyDescent="0.15">
      <c r="A1454" s="79"/>
      <c r="B1454" s="77" t="str">
        <f t="shared" ca="1" si="44"/>
        <v/>
      </c>
      <c r="C1454" s="11" t="str">
        <f t="shared" ca="1" si="45"/>
        <v/>
      </c>
    </row>
    <row r="1455" spans="1:3" x14ac:dyDescent="0.15">
      <c r="A1455" s="79"/>
      <c r="B1455" s="77" t="str">
        <f t="shared" ca="1" si="44"/>
        <v/>
      </c>
      <c r="C1455" s="11" t="str">
        <f t="shared" ca="1" si="45"/>
        <v/>
      </c>
    </row>
    <row r="1456" spans="1:3" x14ac:dyDescent="0.15">
      <c r="A1456" s="79"/>
      <c r="B1456" s="77" t="str">
        <f t="shared" ca="1" si="44"/>
        <v/>
      </c>
      <c r="C1456" s="11" t="str">
        <f t="shared" ca="1" si="45"/>
        <v/>
      </c>
    </row>
    <row r="1457" spans="1:3" x14ac:dyDescent="0.15">
      <c r="A1457" s="79"/>
      <c r="B1457" s="77" t="str">
        <f t="shared" ca="1" si="44"/>
        <v/>
      </c>
      <c r="C1457" s="11" t="str">
        <f t="shared" ca="1" si="45"/>
        <v/>
      </c>
    </row>
    <row r="1458" spans="1:3" x14ac:dyDescent="0.15">
      <c r="A1458" s="79"/>
      <c r="B1458" s="77" t="str">
        <f t="shared" ca="1" si="44"/>
        <v/>
      </c>
      <c r="C1458" s="11" t="str">
        <f t="shared" ca="1" si="45"/>
        <v/>
      </c>
    </row>
    <row r="1459" spans="1:3" x14ac:dyDescent="0.15">
      <c r="A1459" s="79"/>
      <c r="B1459" s="77" t="str">
        <f t="shared" ca="1" si="44"/>
        <v/>
      </c>
      <c r="C1459" s="11" t="str">
        <f t="shared" ca="1" si="45"/>
        <v/>
      </c>
    </row>
    <row r="1460" spans="1:3" x14ac:dyDescent="0.15">
      <c r="A1460" s="79"/>
      <c r="B1460" s="77" t="str">
        <f t="shared" ca="1" si="44"/>
        <v/>
      </c>
      <c r="C1460" s="11" t="str">
        <f t="shared" ca="1" si="45"/>
        <v/>
      </c>
    </row>
    <row r="1461" spans="1:3" x14ac:dyDescent="0.15">
      <c r="A1461" s="79"/>
      <c r="B1461" s="77" t="str">
        <f t="shared" ca="1" si="44"/>
        <v/>
      </c>
      <c r="C1461" s="11" t="str">
        <f t="shared" ca="1" si="45"/>
        <v/>
      </c>
    </row>
    <row r="1462" spans="1:3" x14ac:dyDescent="0.15">
      <c r="A1462" s="79"/>
      <c r="B1462" s="77" t="str">
        <f t="shared" ca="1" si="44"/>
        <v/>
      </c>
      <c r="C1462" s="11" t="str">
        <f t="shared" ca="1" si="45"/>
        <v/>
      </c>
    </row>
    <row r="1463" spans="1:3" x14ac:dyDescent="0.15">
      <c r="A1463" s="79"/>
      <c r="B1463" s="77" t="str">
        <f t="shared" ca="1" si="44"/>
        <v/>
      </c>
      <c r="C1463" s="11" t="str">
        <f t="shared" ca="1" si="45"/>
        <v/>
      </c>
    </row>
    <row r="1464" spans="1:3" x14ac:dyDescent="0.15">
      <c r="A1464" s="79"/>
      <c r="B1464" s="77" t="str">
        <f t="shared" ca="1" si="44"/>
        <v/>
      </c>
      <c r="C1464" s="11" t="str">
        <f t="shared" ca="1" si="45"/>
        <v/>
      </c>
    </row>
    <row r="1465" spans="1:3" x14ac:dyDescent="0.15">
      <c r="A1465" s="79"/>
      <c r="B1465" s="77" t="str">
        <f t="shared" ca="1" si="44"/>
        <v/>
      </c>
      <c r="C1465" s="11" t="str">
        <f t="shared" ca="1" si="45"/>
        <v/>
      </c>
    </row>
    <row r="1466" spans="1:3" x14ac:dyDescent="0.15">
      <c r="A1466" s="79"/>
      <c r="B1466" s="77" t="str">
        <f t="shared" ca="1" si="44"/>
        <v/>
      </c>
      <c r="C1466" s="11" t="str">
        <f t="shared" ca="1" si="45"/>
        <v/>
      </c>
    </row>
    <row r="1467" spans="1:3" x14ac:dyDescent="0.15">
      <c r="A1467" s="79"/>
      <c r="B1467" s="77" t="str">
        <f t="shared" ca="1" si="44"/>
        <v/>
      </c>
      <c r="C1467" s="11" t="str">
        <f t="shared" ca="1" si="45"/>
        <v/>
      </c>
    </row>
    <row r="1468" spans="1:3" x14ac:dyDescent="0.15">
      <c r="A1468" s="79"/>
      <c r="B1468" s="77" t="str">
        <f t="shared" ca="1" si="44"/>
        <v/>
      </c>
      <c r="C1468" s="11" t="str">
        <f t="shared" ca="1" si="45"/>
        <v/>
      </c>
    </row>
    <row r="1469" spans="1:3" x14ac:dyDescent="0.15">
      <c r="A1469" s="79"/>
      <c r="B1469" s="77" t="str">
        <f t="shared" ca="1" si="44"/>
        <v/>
      </c>
      <c r="C1469" s="11" t="str">
        <f t="shared" ca="1" si="45"/>
        <v/>
      </c>
    </row>
    <row r="1470" spans="1:3" x14ac:dyDescent="0.15">
      <c r="A1470" s="79"/>
      <c r="B1470" s="77" t="str">
        <f t="shared" ca="1" si="44"/>
        <v/>
      </c>
      <c r="C1470" s="11" t="str">
        <f t="shared" ca="1" si="45"/>
        <v/>
      </c>
    </row>
    <row r="1471" spans="1:3" x14ac:dyDescent="0.15">
      <c r="A1471" s="79"/>
      <c r="B1471" s="77" t="str">
        <f t="shared" ca="1" si="44"/>
        <v/>
      </c>
      <c r="C1471" s="11" t="str">
        <f t="shared" ca="1" si="45"/>
        <v/>
      </c>
    </row>
    <row r="1472" spans="1:3" x14ac:dyDescent="0.15">
      <c r="A1472" s="79"/>
      <c r="B1472" s="77" t="str">
        <f t="shared" ca="1" si="44"/>
        <v/>
      </c>
      <c r="C1472" s="11" t="str">
        <f t="shared" ca="1" si="45"/>
        <v/>
      </c>
    </row>
    <row r="1473" spans="1:3" x14ac:dyDescent="0.15">
      <c r="A1473" s="79"/>
      <c r="B1473" s="77" t="str">
        <f t="shared" ca="1" si="44"/>
        <v/>
      </c>
      <c r="C1473" s="11" t="str">
        <f t="shared" ca="1" si="45"/>
        <v/>
      </c>
    </row>
    <row r="1474" spans="1:3" x14ac:dyDescent="0.15">
      <c r="A1474" s="79"/>
      <c r="B1474" s="77" t="str">
        <f t="shared" ref="B1474:B1537" ca="1" si="46">IFERROR(VLOOKUP(TEXT(A1474,"00000000"),analysis_table_by_barcode,15,FALSE),"")</f>
        <v/>
      </c>
      <c r="C1474" s="11" t="str">
        <f t="shared" ref="C1474:C1537" ca="1" si="47">IF($B1474&lt;&gt;"", IF(VLOOKUP(B1474, final_to_ministry_result,2,FALSE)&lt;&gt;"",VLOOKUP(B1474, final_to_ministry_result,2,FALSE),""),"")</f>
        <v/>
      </c>
    </row>
    <row r="1475" spans="1:3" x14ac:dyDescent="0.15">
      <c r="A1475" s="79"/>
      <c r="B1475" s="77" t="str">
        <f t="shared" ca="1" si="46"/>
        <v/>
      </c>
      <c r="C1475" s="11" t="str">
        <f t="shared" ca="1" si="47"/>
        <v/>
      </c>
    </row>
    <row r="1476" spans="1:3" x14ac:dyDescent="0.15">
      <c r="A1476" s="79"/>
      <c r="B1476" s="77" t="str">
        <f t="shared" ca="1" si="46"/>
        <v/>
      </c>
      <c r="C1476" s="11" t="str">
        <f t="shared" ca="1" si="47"/>
        <v/>
      </c>
    </row>
    <row r="1477" spans="1:3" x14ac:dyDescent="0.15">
      <c r="A1477" s="79"/>
      <c r="B1477" s="77" t="str">
        <f t="shared" ca="1" si="46"/>
        <v/>
      </c>
      <c r="C1477" s="11" t="str">
        <f t="shared" ca="1" si="47"/>
        <v/>
      </c>
    </row>
    <row r="1478" spans="1:3" x14ac:dyDescent="0.15">
      <c r="A1478" s="79"/>
      <c r="B1478" s="77" t="str">
        <f t="shared" ca="1" si="46"/>
        <v/>
      </c>
      <c r="C1478" s="11" t="str">
        <f t="shared" ca="1" si="47"/>
        <v/>
      </c>
    </row>
    <row r="1479" spans="1:3" x14ac:dyDescent="0.15">
      <c r="A1479" s="79"/>
      <c r="B1479" s="77" t="str">
        <f t="shared" ca="1" si="46"/>
        <v/>
      </c>
      <c r="C1479" s="11" t="str">
        <f t="shared" ca="1" si="47"/>
        <v/>
      </c>
    </row>
    <row r="1480" spans="1:3" x14ac:dyDescent="0.15">
      <c r="A1480" s="79"/>
      <c r="B1480" s="77" t="str">
        <f t="shared" ca="1" si="46"/>
        <v/>
      </c>
      <c r="C1480" s="11" t="str">
        <f t="shared" ca="1" si="47"/>
        <v/>
      </c>
    </row>
    <row r="1481" spans="1:3" x14ac:dyDescent="0.15">
      <c r="A1481" s="79"/>
      <c r="B1481" s="77" t="str">
        <f t="shared" ca="1" si="46"/>
        <v/>
      </c>
      <c r="C1481" s="11" t="str">
        <f t="shared" ca="1" si="47"/>
        <v/>
      </c>
    </row>
    <row r="1482" spans="1:3" x14ac:dyDescent="0.15">
      <c r="A1482" s="79"/>
      <c r="B1482" s="77" t="str">
        <f t="shared" ca="1" si="46"/>
        <v/>
      </c>
      <c r="C1482" s="11" t="str">
        <f t="shared" ca="1" si="47"/>
        <v/>
      </c>
    </row>
    <row r="1483" spans="1:3" x14ac:dyDescent="0.15">
      <c r="A1483" s="79"/>
      <c r="B1483" s="77" t="str">
        <f t="shared" ca="1" si="46"/>
        <v/>
      </c>
      <c r="C1483" s="11" t="str">
        <f t="shared" ca="1" si="47"/>
        <v/>
      </c>
    </row>
    <row r="1484" spans="1:3" x14ac:dyDescent="0.15">
      <c r="A1484" s="79"/>
      <c r="B1484" s="77" t="str">
        <f t="shared" ca="1" si="46"/>
        <v/>
      </c>
      <c r="C1484" s="11" t="str">
        <f t="shared" ca="1" si="47"/>
        <v/>
      </c>
    </row>
    <row r="1485" spans="1:3" x14ac:dyDescent="0.15">
      <c r="A1485" s="79"/>
      <c r="B1485" s="77" t="str">
        <f t="shared" ca="1" si="46"/>
        <v/>
      </c>
      <c r="C1485" s="11" t="str">
        <f t="shared" ca="1" si="47"/>
        <v/>
      </c>
    </row>
    <row r="1486" spans="1:3" x14ac:dyDescent="0.15">
      <c r="A1486" s="79"/>
      <c r="B1486" s="77" t="str">
        <f t="shared" ca="1" si="46"/>
        <v/>
      </c>
      <c r="C1486" s="11" t="str">
        <f t="shared" ca="1" si="47"/>
        <v/>
      </c>
    </row>
    <row r="1487" spans="1:3" x14ac:dyDescent="0.15">
      <c r="A1487" s="79"/>
      <c r="B1487" s="77" t="str">
        <f t="shared" ca="1" si="46"/>
        <v/>
      </c>
      <c r="C1487" s="11" t="str">
        <f t="shared" ca="1" si="47"/>
        <v/>
      </c>
    </row>
    <row r="1488" spans="1:3" x14ac:dyDescent="0.15">
      <c r="A1488" s="79"/>
      <c r="B1488" s="77" t="str">
        <f t="shared" ca="1" si="46"/>
        <v/>
      </c>
      <c r="C1488" s="11" t="str">
        <f t="shared" ca="1" si="47"/>
        <v/>
      </c>
    </row>
    <row r="1489" spans="1:3" x14ac:dyDescent="0.15">
      <c r="A1489" s="79"/>
      <c r="B1489" s="77" t="str">
        <f t="shared" ca="1" si="46"/>
        <v/>
      </c>
      <c r="C1489" s="11" t="str">
        <f t="shared" ca="1" si="47"/>
        <v/>
      </c>
    </row>
    <row r="1490" spans="1:3" x14ac:dyDescent="0.15">
      <c r="A1490" s="79"/>
      <c r="B1490" s="77" t="str">
        <f t="shared" ca="1" si="46"/>
        <v/>
      </c>
      <c r="C1490" s="11" t="str">
        <f t="shared" ca="1" si="47"/>
        <v/>
      </c>
    </row>
    <row r="1491" spans="1:3" x14ac:dyDescent="0.15">
      <c r="A1491" s="79"/>
      <c r="B1491" s="77" t="str">
        <f t="shared" ca="1" si="46"/>
        <v/>
      </c>
      <c r="C1491" s="11" t="str">
        <f t="shared" ca="1" si="47"/>
        <v/>
      </c>
    </row>
    <row r="1492" spans="1:3" x14ac:dyDescent="0.15">
      <c r="A1492" s="79"/>
      <c r="B1492" s="77" t="str">
        <f t="shared" ca="1" si="46"/>
        <v/>
      </c>
      <c r="C1492" s="11" t="str">
        <f t="shared" ca="1" si="47"/>
        <v/>
      </c>
    </row>
    <row r="1493" spans="1:3" x14ac:dyDescent="0.15">
      <c r="A1493" s="79"/>
      <c r="B1493" s="77" t="str">
        <f t="shared" ca="1" si="46"/>
        <v/>
      </c>
      <c r="C1493" s="11" t="str">
        <f t="shared" ca="1" si="47"/>
        <v/>
      </c>
    </row>
    <row r="1494" spans="1:3" x14ac:dyDescent="0.15">
      <c r="A1494" s="79"/>
      <c r="B1494" s="77" t="str">
        <f t="shared" ca="1" si="46"/>
        <v/>
      </c>
      <c r="C1494" s="11" t="str">
        <f t="shared" ca="1" si="47"/>
        <v/>
      </c>
    </row>
    <row r="1495" spans="1:3" x14ac:dyDescent="0.15">
      <c r="A1495" s="79"/>
      <c r="B1495" s="77" t="str">
        <f t="shared" ca="1" si="46"/>
        <v/>
      </c>
      <c r="C1495" s="11" t="str">
        <f t="shared" ca="1" si="47"/>
        <v/>
      </c>
    </row>
    <row r="1496" spans="1:3" x14ac:dyDescent="0.15">
      <c r="A1496" s="79"/>
      <c r="B1496" s="77" t="str">
        <f t="shared" ca="1" si="46"/>
        <v/>
      </c>
      <c r="C1496" s="11" t="str">
        <f t="shared" ca="1" si="47"/>
        <v/>
      </c>
    </row>
    <row r="1497" spans="1:3" x14ac:dyDescent="0.15">
      <c r="A1497" s="79"/>
      <c r="B1497" s="77" t="str">
        <f t="shared" ca="1" si="46"/>
        <v/>
      </c>
      <c r="C1497" s="11" t="str">
        <f t="shared" ca="1" si="47"/>
        <v/>
      </c>
    </row>
    <row r="1498" spans="1:3" x14ac:dyDescent="0.15">
      <c r="A1498" s="79"/>
      <c r="B1498" s="77" t="str">
        <f t="shared" ca="1" si="46"/>
        <v/>
      </c>
      <c r="C1498" s="11" t="str">
        <f t="shared" ca="1" si="47"/>
        <v/>
      </c>
    </row>
    <row r="1499" spans="1:3" x14ac:dyDescent="0.15">
      <c r="A1499" s="79"/>
      <c r="B1499" s="77" t="str">
        <f t="shared" ca="1" si="46"/>
        <v/>
      </c>
      <c r="C1499" s="11" t="str">
        <f t="shared" ca="1" si="47"/>
        <v/>
      </c>
    </row>
    <row r="1500" spans="1:3" x14ac:dyDescent="0.15">
      <c r="A1500" s="79"/>
      <c r="B1500" s="77" t="str">
        <f t="shared" ca="1" si="46"/>
        <v/>
      </c>
      <c r="C1500" s="11" t="str">
        <f t="shared" ca="1" si="47"/>
        <v/>
      </c>
    </row>
    <row r="1501" spans="1:3" x14ac:dyDescent="0.15">
      <c r="A1501" s="79"/>
      <c r="B1501" s="77" t="str">
        <f t="shared" ca="1" si="46"/>
        <v/>
      </c>
      <c r="C1501" s="11" t="str">
        <f t="shared" ca="1" si="47"/>
        <v/>
      </c>
    </row>
    <row r="1502" spans="1:3" x14ac:dyDescent="0.15">
      <c r="A1502" s="79"/>
      <c r="B1502" s="77" t="str">
        <f t="shared" ca="1" si="46"/>
        <v/>
      </c>
      <c r="C1502" s="11" t="str">
        <f t="shared" ca="1" si="47"/>
        <v/>
      </c>
    </row>
    <row r="1503" spans="1:3" x14ac:dyDescent="0.15">
      <c r="A1503" s="79"/>
      <c r="B1503" s="77" t="str">
        <f t="shared" ca="1" si="46"/>
        <v/>
      </c>
      <c r="C1503" s="11" t="str">
        <f t="shared" ca="1" si="47"/>
        <v/>
      </c>
    </row>
    <row r="1504" spans="1:3" x14ac:dyDescent="0.15">
      <c r="A1504" s="79"/>
      <c r="B1504" s="77" t="str">
        <f t="shared" ca="1" si="46"/>
        <v/>
      </c>
      <c r="C1504" s="11" t="str">
        <f t="shared" ca="1" si="47"/>
        <v/>
      </c>
    </row>
    <row r="1505" spans="1:3" x14ac:dyDescent="0.15">
      <c r="A1505" s="79"/>
      <c r="B1505" s="77" t="str">
        <f t="shared" ca="1" si="46"/>
        <v/>
      </c>
      <c r="C1505" s="11" t="str">
        <f t="shared" ca="1" si="47"/>
        <v/>
      </c>
    </row>
    <row r="1506" spans="1:3" x14ac:dyDescent="0.15">
      <c r="A1506" s="79"/>
      <c r="B1506" s="77" t="str">
        <f t="shared" ca="1" si="46"/>
        <v/>
      </c>
      <c r="C1506" s="11" t="str">
        <f t="shared" ca="1" si="47"/>
        <v/>
      </c>
    </row>
    <row r="1507" spans="1:3" x14ac:dyDescent="0.15">
      <c r="A1507" s="79"/>
      <c r="B1507" s="77" t="str">
        <f t="shared" ca="1" si="46"/>
        <v/>
      </c>
      <c r="C1507" s="11" t="str">
        <f t="shared" ca="1" si="47"/>
        <v/>
      </c>
    </row>
    <row r="1508" spans="1:3" x14ac:dyDescent="0.15">
      <c r="A1508" s="79"/>
      <c r="B1508" s="77" t="str">
        <f t="shared" ca="1" si="46"/>
        <v/>
      </c>
      <c r="C1508" s="11" t="str">
        <f t="shared" ca="1" si="47"/>
        <v/>
      </c>
    </row>
    <row r="1509" spans="1:3" x14ac:dyDescent="0.15">
      <c r="A1509" s="79"/>
      <c r="B1509" s="77" t="str">
        <f t="shared" ca="1" si="46"/>
        <v/>
      </c>
      <c r="C1509" s="11" t="str">
        <f t="shared" ca="1" si="47"/>
        <v/>
      </c>
    </row>
    <row r="1510" spans="1:3" x14ac:dyDescent="0.15">
      <c r="A1510" s="79"/>
      <c r="B1510" s="77" t="str">
        <f t="shared" ca="1" si="46"/>
        <v/>
      </c>
      <c r="C1510" s="11" t="str">
        <f t="shared" ca="1" si="47"/>
        <v/>
      </c>
    </row>
    <row r="1511" spans="1:3" x14ac:dyDescent="0.15">
      <c r="A1511" s="79"/>
      <c r="B1511" s="77" t="str">
        <f t="shared" ca="1" si="46"/>
        <v/>
      </c>
      <c r="C1511" s="11" t="str">
        <f t="shared" ca="1" si="47"/>
        <v/>
      </c>
    </row>
    <row r="1512" spans="1:3" x14ac:dyDescent="0.15">
      <c r="A1512" s="79"/>
      <c r="B1512" s="77" t="str">
        <f t="shared" ca="1" si="46"/>
        <v/>
      </c>
      <c r="C1512" s="11" t="str">
        <f t="shared" ca="1" si="47"/>
        <v/>
      </c>
    </row>
    <row r="1513" spans="1:3" x14ac:dyDescent="0.15">
      <c r="A1513" s="79"/>
      <c r="B1513" s="77" t="str">
        <f t="shared" ca="1" si="46"/>
        <v/>
      </c>
      <c r="C1513" s="11" t="str">
        <f t="shared" ca="1" si="47"/>
        <v/>
      </c>
    </row>
    <row r="1514" spans="1:3" x14ac:dyDescent="0.15">
      <c r="A1514" s="79"/>
      <c r="B1514" s="77" t="str">
        <f t="shared" ca="1" si="46"/>
        <v/>
      </c>
      <c r="C1514" s="11" t="str">
        <f t="shared" ca="1" si="47"/>
        <v/>
      </c>
    </row>
    <row r="1515" spans="1:3" x14ac:dyDescent="0.15">
      <c r="A1515" s="79"/>
      <c r="B1515" s="77" t="str">
        <f t="shared" ca="1" si="46"/>
        <v/>
      </c>
      <c r="C1515" s="11" t="str">
        <f t="shared" ca="1" si="47"/>
        <v/>
      </c>
    </row>
    <row r="1516" spans="1:3" x14ac:dyDescent="0.15">
      <c r="A1516" s="79"/>
      <c r="B1516" s="77" t="str">
        <f t="shared" ca="1" si="46"/>
        <v/>
      </c>
      <c r="C1516" s="11" t="str">
        <f t="shared" ca="1" si="47"/>
        <v/>
      </c>
    </row>
    <row r="1517" spans="1:3" x14ac:dyDescent="0.15">
      <c r="A1517" s="79"/>
      <c r="B1517" s="77" t="str">
        <f t="shared" ca="1" si="46"/>
        <v/>
      </c>
      <c r="C1517" s="11" t="str">
        <f t="shared" ca="1" si="47"/>
        <v/>
      </c>
    </row>
    <row r="1518" spans="1:3" x14ac:dyDescent="0.15">
      <c r="A1518" s="79"/>
      <c r="B1518" s="77" t="str">
        <f t="shared" ca="1" si="46"/>
        <v/>
      </c>
      <c r="C1518" s="11" t="str">
        <f t="shared" ca="1" si="47"/>
        <v/>
      </c>
    </row>
    <row r="1519" spans="1:3" x14ac:dyDescent="0.15">
      <c r="A1519" s="79"/>
      <c r="B1519" s="77" t="str">
        <f t="shared" ca="1" si="46"/>
        <v/>
      </c>
      <c r="C1519" s="11" t="str">
        <f t="shared" ca="1" si="47"/>
        <v/>
      </c>
    </row>
    <row r="1520" spans="1:3" x14ac:dyDescent="0.15">
      <c r="A1520" s="79"/>
      <c r="B1520" s="77" t="str">
        <f t="shared" ca="1" si="46"/>
        <v/>
      </c>
      <c r="C1520" s="11" t="str">
        <f t="shared" ca="1" si="47"/>
        <v/>
      </c>
    </row>
    <row r="1521" spans="1:3" x14ac:dyDescent="0.15">
      <c r="A1521" s="79"/>
      <c r="B1521" s="77" t="str">
        <f t="shared" ca="1" si="46"/>
        <v/>
      </c>
      <c r="C1521" s="11" t="str">
        <f t="shared" ca="1" si="47"/>
        <v/>
      </c>
    </row>
    <row r="1522" spans="1:3" x14ac:dyDescent="0.15">
      <c r="A1522" s="79"/>
      <c r="B1522" s="77" t="str">
        <f t="shared" ca="1" si="46"/>
        <v/>
      </c>
      <c r="C1522" s="11" t="str">
        <f t="shared" ca="1" si="47"/>
        <v/>
      </c>
    </row>
    <row r="1523" spans="1:3" x14ac:dyDescent="0.15">
      <c r="A1523" s="79"/>
      <c r="B1523" s="77" t="str">
        <f t="shared" ca="1" si="46"/>
        <v/>
      </c>
      <c r="C1523" s="11" t="str">
        <f t="shared" ca="1" si="47"/>
        <v/>
      </c>
    </row>
    <row r="1524" spans="1:3" x14ac:dyDescent="0.15">
      <c r="A1524" s="79"/>
      <c r="B1524" s="77" t="str">
        <f t="shared" ca="1" si="46"/>
        <v/>
      </c>
      <c r="C1524" s="11" t="str">
        <f t="shared" ca="1" si="47"/>
        <v/>
      </c>
    </row>
    <row r="1525" spans="1:3" x14ac:dyDescent="0.15">
      <c r="A1525" s="79"/>
      <c r="B1525" s="77" t="str">
        <f t="shared" ca="1" si="46"/>
        <v/>
      </c>
      <c r="C1525" s="11" t="str">
        <f t="shared" ca="1" si="47"/>
        <v/>
      </c>
    </row>
    <row r="1526" spans="1:3" x14ac:dyDescent="0.15">
      <c r="A1526" s="79"/>
      <c r="B1526" s="77" t="str">
        <f t="shared" ca="1" si="46"/>
        <v/>
      </c>
      <c r="C1526" s="11" t="str">
        <f t="shared" ca="1" si="47"/>
        <v/>
      </c>
    </row>
    <row r="1527" spans="1:3" x14ac:dyDescent="0.15">
      <c r="A1527" s="79"/>
      <c r="B1527" s="77" t="str">
        <f t="shared" ca="1" si="46"/>
        <v/>
      </c>
      <c r="C1527" s="11" t="str">
        <f t="shared" ca="1" si="47"/>
        <v/>
      </c>
    </row>
    <row r="1528" spans="1:3" x14ac:dyDescent="0.15">
      <c r="A1528" s="79"/>
      <c r="B1528" s="77" t="str">
        <f t="shared" ca="1" si="46"/>
        <v/>
      </c>
      <c r="C1528" s="11" t="str">
        <f t="shared" ca="1" si="47"/>
        <v/>
      </c>
    </row>
    <row r="1529" spans="1:3" x14ac:dyDescent="0.15">
      <c r="A1529" s="79"/>
      <c r="B1529" s="77" t="str">
        <f t="shared" ca="1" si="46"/>
        <v/>
      </c>
      <c r="C1529" s="11" t="str">
        <f t="shared" ca="1" si="47"/>
        <v/>
      </c>
    </row>
    <row r="1530" spans="1:3" x14ac:dyDescent="0.15">
      <c r="A1530" s="79"/>
      <c r="B1530" s="77" t="str">
        <f t="shared" ca="1" si="46"/>
        <v/>
      </c>
      <c r="C1530" s="11" t="str">
        <f t="shared" ca="1" si="47"/>
        <v/>
      </c>
    </row>
    <row r="1531" spans="1:3" x14ac:dyDescent="0.15">
      <c r="A1531" s="79"/>
      <c r="B1531" s="77" t="str">
        <f t="shared" ca="1" si="46"/>
        <v/>
      </c>
      <c r="C1531" s="11" t="str">
        <f t="shared" ca="1" si="47"/>
        <v/>
      </c>
    </row>
    <row r="1532" spans="1:3" x14ac:dyDescent="0.15">
      <c r="A1532" s="79"/>
      <c r="B1532" s="77" t="str">
        <f t="shared" ca="1" si="46"/>
        <v/>
      </c>
      <c r="C1532" s="11" t="str">
        <f t="shared" ca="1" si="47"/>
        <v/>
      </c>
    </row>
    <row r="1533" spans="1:3" x14ac:dyDescent="0.15">
      <c r="A1533" s="79"/>
      <c r="B1533" s="77" t="str">
        <f t="shared" ca="1" si="46"/>
        <v/>
      </c>
      <c r="C1533" s="11" t="str">
        <f t="shared" ca="1" si="47"/>
        <v/>
      </c>
    </row>
    <row r="1534" spans="1:3" x14ac:dyDescent="0.15">
      <c r="A1534" s="79"/>
      <c r="B1534" s="77" t="str">
        <f t="shared" ca="1" si="46"/>
        <v/>
      </c>
      <c r="C1534" s="11" t="str">
        <f t="shared" ca="1" si="47"/>
        <v/>
      </c>
    </row>
    <row r="1535" spans="1:3" x14ac:dyDescent="0.15">
      <c r="A1535" s="79"/>
      <c r="B1535" s="77" t="str">
        <f t="shared" ca="1" si="46"/>
        <v/>
      </c>
      <c r="C1535" s="11" t="str">
        <f t="shared" ca="1" si="47"/>
        <v/>
      </c>
    </row>
    <row r="1536" spans="1:3" x14ac:dyDescent="0.15">
      <c r="A1536" s="79"/>
      <c r="B1536" s="77" t="str">
        <f t="shared" ca="1" si="46"/>
        <v/>
      </c>
      <c r="C1536" s="11" t="str">
        <f t="shared" ca="1" si="47"/>
        <v/>
      </c>
    </row>
    <row r="1537" spans="1:3" x14ac:dyDescent="0.15">
      <c r="A1537" s="79"/>
      <c r="B1537" s="77" t="str">
        <f t="shared" ca="1" si="46"/>
        <v/>
      </c>
      <c r="C1537" s="11" t="str">
        <f t="shared" ca="1" si="47"/>
        <v/>
      </c>
    </row>
    <row r="1538" spans="1:3" x14ac:dyDescent="0.15">
      <c r="A1538" s="79"/>
      <c r="B1538" s="77" t="str">
        <f t="shared" ref="B1538:B1601" ca="1" si="48">IFERROR(VLOOKUP(TEXT(A1538,"00000000"),analysis_table_by_barcode,15,FALSE),"")</f>
        <v/>
      </c>
      <c r="C1538" s="11" t="str">
        <f t="shared" ref="C1538:C1601" ca="1" si="49">IF($B1538&lt;&gt;"", IF(VLOOKUP(B1538, final_to_ministry_result,2,FALSE)&lt;&gt;"",VLOOKUP(B1538, final_to_ministry_result,2,FALSE),""),"")</f>
        <v/>
      </c>
    </row>
    <row r="1539" spans="1:3" x14ac:dyDescent="0.15">
      <c r="A1539" s="79"/>
      <c r="B1539" s="77" t="str">
        <f t="shared" ca="1" si="48"/>
        <v/>
      </c>
      <c r="C1539" s="11" t="str">
        <f t="shared" ca="1" si="49"/>
        <v/>
      </c>
    </row>
    <row r="1540" spans="1:3" x14ac:dyDescent="0.15">
      <c r="A1540" s="79"/>
      <c r="B1540" s="77" t="str">
        <f t="shared" ca="1" si="48"/>
        <v/>
      </c>
      <c r="C1540" s="11" t="str">
        <f t="shared" ca="1" si="49"/>
        <v/>
      </c>
    </row>
    <row r="1541" spans="1:3" x14ac:dyDescent="0.15">
      <c r="A1541" s="79"/>
      <c r="B1541" s="77" t="str">
        <f t="shared" ca="1" si="48"/>
        <v/>
      </c>
      <c r="C1541" s="11" t="str">
        <f t="shared" ca="1" si="49"/>
        <v/>
      </c>
    </row>
    <row r="1542" spans="1:3" x14ac:dyDescent="0.15">
      <c r="A1542" s="79"/>
      <c r="B1542" s="77" t="str">
        <f t="shared" ca="1" si="48"/>
        <v/>
      </c>
      <c r="C1542" s="11" t="str">
        <f t="shared" ca="1" si="49"/>
        <v/>
      </c>
    </row>
    <row r="1543" spans="1:3" x14ac:dyDescent="0.15">
      <c r="A1543" s="79"/>
      <c r="B1543" s="77" t="str">
        <f t="shared" ca="1" si="48"/>
        <v/>
      </c>
      <c r="C1543" s="11" t="str">
        <f t="shared" ca="1" si="49"/>
        <v/>
      </c>
    </row>
    <row r="1544" spans="1:3" x14ac:dyDescent="0.15">
      <c r="A1544" s="79"/>
      <c r="B1544" s="77" t="str">
        <f t="shared" ca="1" si="48"/>
        <v/>
      </c>
      <c r="C1544" s="11" t="str">
        <f t="shared" ca="1" si="49"/>
        <v/>
      </c>
    </row>
    <row r="1545" spans="1:3" x14ac:dyDescent="0.15">
      <c r="A1545" s="79"/>
      <c r="B1545" s="77" t="str">
        <f t="shared" ca="1" si="48"/>
        <v/>
      </c>
      <c r="C1545" s="11" t="str">
        <f t="shared" ca="1" si="49"/>
        <v/>
      </c>
    </row>
    <row r="1546" spans="1:3" x14ac:dyDescent="0.15">
      <c r="A1546" s="79"/>
      <c r="B1546" s="77" t="str">
        <f t="shared" ca="1" si="48"/>
        <v/>
      </c>
      <c r="C1546" s="11" t="str">
        <f t="shared" ca="1" si="49"/>
        <v/>
      </c>
    </row>
    <row r="1547" spans="1:3" x14ac:dyDescent="0.15">
      <c r="A1547" s="79"/>
      <c r="B1547" s="77" t="str">
        <f t="shared" ca="1" si="48"/>
        <v/>
      </c>
      <c r="C1547" s="11" t="str">
        <f t="shared" ca="1" si="49"/>
        <v/>
      </c>
    </row>
    <row r="1548" spans="1:3" x14ac:dyDescent="0.15">
      <c r="A1548" s="79"/>
      <c r="B1548" s="77" t="str">
        <f t="shared" ca="1" si="48"/>
        <v/>
      </c>
      <c r="C1548" s="11" t="str">
        <f t="shared" ca="1" si="49"/>
        <v/>
      </c>
    </row>
    <row r="1549" spans="1:3" x14ac:dyDescent="0.15">
      <c r="A1549" s="79"/>
      <c r="B1549" s="77" t="str">
        <f t="shared" ca="1" si="48"/>
        <v/>
      </c>
      <c r="C1549" s="11" t="str">
        <f t="shared" ca="1" si="49"/>
        <v/>
      </c>
    </row>
    <row r="1550" spans="1:3" x14ac:dyDescent="0.15">
      <c r="A1550" s="79"/>
      <c r="B1550" s="77" t="str">
        <f t="shared" ca="1" si="48"/>
        <v/>
      </c>
      <c r="C1550" s="11" t="str">
        <f t="shared" ca="1" si="49"/>
        <v/>
      </c>
    </row>
    <row r="1551" spans="1:3" x14ac:dyDescent="0.15">
      <c r="A1551" s="79"/>
      <c r="B1551" s="77" t="str">
        <f t="shared" ca="1" si="48"/>
        <v/>
      </c>
      <c r="C1551" s="11" t="str">
        <f t="shared" ca="1" si="49"/>
        <v/>
      </c>
    </row>
    <row r="1552" spans="1:3" x14ac:dyDescent="0.15">
      <c r="A1552" s="79"/>
      <c r="B1552" s="77" t="str">
        <f t="shared" ca="1" si="48"/>
        <v/>
      </c>
      <c r="C1552" s="11" t="str">
        <f t="shared" ca="1" si="49"/>
        <v/>
      </c>
    </row>
    <row r="1553" spans="1:3" x14ac:dyDescent="0.15">
      <c r="A1553" s="79"/>
      <c r="B1553" s="77" t="str">
        <f t="shared" ca="1" si="48"/>
        <v/>
      </c>
      <c r="C1553" s="11" t="str">
        <f t="shared" ca="1" si="49"/>
        <v/>
      </c>
    </row>
    <row r="1554" spans="1:3" x14ac:dyDescent="0.15">
      <c r="A1554" s="79"/>
      <c r="B1554" s="77" t="str">
        <f t="shared" ca="1" si="48"/>
        <v/>
      </c>
      <c r="C1554" s="11" t="str">
        <f t="shared" ca="1" si="49"/>
        <v/>
      </c>
    </row>
    <row r="1555" spans="1:3" x14ac:dyDescent="0.15">
      <c r="A1555" s="79"/>
      <c r="B1555" s="77" t="str">
        <f t="shared" ca="1" si="48"/>
        <v/>
      </c>
      <c r="C1555" s="11" t="str">
        <f t="shared" ca="1" si="49"/>
        <v/>
      </c>
    </row>
    <row r="1556" spans="1:3" x14ac:dyDescent="0.15">
      <c r="A1556" s="79"/>
      <c r="B1556" s="77" t="str">
        <f t="shared" ca="1" si="48"/>
        <v/>
      </c>
      <c r="C1556" s="11" t="str">
        <f t="shared" ca="1" si="49"/>
        <v/>
      </c>
    </row>
    <row r="1557" spans="1:3" x14ac:dyDescent="0.15">
      <c r="A1557" s="79"/>
      <c r="B1557" s="77" t="str">
        <f t="shared" ca="1" si="48"/>
        <v/>
      </c>
      <c r="C1557" s="11" t="str">
        <f t="shared" ca="1" si="49"/>
        <v/>
      </c>
    </row>
    <row r="1558" spans="1:3" x14ac:dyDescent="0.15">
      <c r="A1558" s="79"/>
      <c r="B1558" s="77" t="str">
        <f t="shared" ca="1" si="48"/>
        <v/>
      </c>
      <c r="C1558" s="11" t="str">
        <f t="shared" ca="1" si="49"/>
        <v/>
      </c>
    </row>
    <row r="1559" spans="1:3" x14ac:dyDescent="0.15">
      <c r="A1559" s="79"/>
      <c r="B1559" s="77" t="str">
        <f t="shared" ca="1" si="48"/>
        <v/>
      </c>
      <c r="C1559" s="11" t="str">
        <f t="shared" ca="1" si="49"/>
        <v/>
      </c>
    </row>
    <row r="1560" spans="1:3" x14ac:dyDescent="0.15">
      <c r="A1560" s="79"/>
      <c r="B1560" s="77" t="str">
        <f t="shared" ca="1" si="48"/>
        <v/>
      </c>
      <c r="C1560" s="11" t="str">
        <f t="shared" ca="1" si="49"/>
        <v/>
      </c>
    </row>
    <row r="1561" spans="1:3" x14ac:dyDescent="0.15">
      <c r="A1561" s="79"/>
      <c r="B1561" s="77" t="str">
        <f t="shared" ca="1" si="48"/>
        <v/>
      </c>
      <c r="C1561" s="11" t="str">
        <f t="shared" ca="1" si="49"/>
        <v/>
      </c>
    </row>
    <row r="1562" spans="1:3" x14ac:dyDescent="0.15">
      <c r="A1562" s="79"/>
      <c r="B1562" s="77" t="str">
        <f t="shared" ca="1" si="48"/>
        <v/>
      </c>
      <c r="C1562" s="11" t="str">
        <f t="shared" ca="1" si="49"/>
        <v/>
      </c>
    </row>
    <row r="1563" spans="1:3" x14ac:dyDescent="0.15">
      <c r="A1563" s="79"/>
      <c r="B1563" s="77" t="str">
        <f t="shared" ca="1" si="48"/>
        <v/>
      </c>
      <c r="C1563" s="11" t="str">
        <f t="shared" ca="1" si="49"/>
        <v/>
      </c>
    </row>
    <row r="1564" spans="1:3" x14ac:dyDescent="0.15">
      <c r="A1564" s="79"/>
      <c r="B1564" s="77" t="str">
        <f t="shared" ca="1" si="48"/>
        <v/>
      </c>
      <c r="C1564" s="11" t="str">
        <f t="shared" ca="1" si="49"/>
        <v/>
      </c>
    </row>
    <row r="1565" spans="1:3" x14ac:dyDescent="0.15">
      <c r="A1565" s="79"/>
      <c r="B1565" s="77" t="str">
        <f t="shared" ca="1" si="48"/>
        <v/>
      </c>
      <c r="C1565" s="11" t="str">
        <f t="shared" ca="1" si="49"/>
        <v/>
      </c>
    </row>
    <row r="1566" spans="1:3" x14ac:dyDescent="0.15">
      <c r="A1566" s="79"/>
      <c r="B1566" s="77" t="str">
        <f t="shared" ca="1" si="48"/>
        <v/>
      </c>
      <c r="C1566" s="11" t="str">
        <f t="shared" ca="1" si="49"/>
        <v/>
      </c>
    </row>
    <row r="1567" spans="1:3" x14ac:dyDescent="0.15">
      <c r="A1567" s="79"/>
      <c r="B1567" s="77" t="str">
        <f t="shared" ca="1" si="48"/>
        <v/>
      </c>
      <c r="C1567" s="11" t="str">
        <f t="shared" ca="1" si="49"/>
        <v/>
      </c>
    </row>
    <row r="1568" spans="1:3" x14ac:dyDescent="0.15">
      <c r="A1568" s="79"/>
      <c r="B1568" s="77" t="str">
        <f t="shared" ca="1" si="48"/>
        <v/>
      </c>
      <c r="C1568" s="11" t="str">
        <f t="shared" ca="1" si="49"/>
        <v/>
      </c>
    </row>
    <row r="1569" spans="1:3" x14ac:dyDescent="0.15">
      <c r="A1569" s="79"/>
      <c r="B1569" s="77" t="str">
        <f t="shared" ca="1" si="48"/>
        <v/>
      </c>
      <c r="C1569" s="11" t="str">
        <f t="shared" ca="1" si="49"/>
        <v/>
      </c>
    </row>
    <row r="1570" spans="1:3" x14ac:dyDescent="0.15">
      <c r="A1570" s="79"/>
      <c r="B1570" s="77" t="str">
        <f t="shared" ca="1" si="48"/>
        <v/>
      </c>
      <c r="C1570" s="11" t="str">
        <f t="shared" ca="1" si="49"/>
        <v/>
      </c>
    </row>
    <row r="1571" spans="1:3" x14ac:dyDescent="0.15">
      <c r="A1571" s="79"/>
      <c r="B1571" s="77" t="str">
        <f t="shared" ca="1" si="48"/>
        <v/>
      </c>
      <c r="C1571" s="11" t="str">
        <f t="shared" ca="1" si="49"/>
        <v/>
      </c>
    </row>
    <row r="1572" spans="1:3" x14ac:dyDescent="0.15">
      <c r="A1572" s="79"/>
      <c r="B1572" s="77" t="str">
        <f t="shared" ca="1" si="48"/>
        <v/>
      </c>
      <c r="C1572" s="11" t="str">
        <f t="shared" ca="1" si="49"/>
        <v/>
      </c>
    </row>
    <row r="1573" spans="1:3" x14ac:dyDescent="0.15">
      <c r="A1573" s="79"/>
      <c r="B1573" s="77" t="str">
        <f t="shared" ca="1" si="48"/>
        <v/>
      </c>
      <c r="C1573" s="11" t="str">
        <f t="shared" ca="1" si="49"/>
        <v/>
      </c>
    </row>
    <row r="1574" spans="1:3" x14ac:dyDescent="0.15">
      <c r="A1574" s="79"/>
      <c r="B1574" s="77" t="str">
        <f t="shared" ca="1" si="48"/>
        <v/>
      </c>
      <c r="C1574" s="11" t="str">
        <f t="shared" ca="1" si="49"/>
        <v/>
      </c>
    </row>
    <row r="1575" spans="1:3" x14ac:dyDescent="0.15">
      <c r="A1575" s="79"/>
      <c r="B1575" s="77" t="str">
        <f t="shared" ca="1" si="48"/>
        <v/>
      </c>
      <c r="C1575" s="11" t="str">
        <f t="shared" ca="1" si="49"/>
        <v/>
      </c>
    </row>
    <row r="1576" spans="1:3" x14ac:dyDescent="0.15">
      <c r="A1576" s="79"/>
      <c r="B1576" s="77" t="str">
        <f t="shared" ca="1" si="48"/>
        <v/>
      </c>
      <c r="C1576" s="11" t="str">
        <f t="shared" ca="1" si="49"/>
        <v/>
      </c>
    </row>
    <row r="1577" spans="1:3" x14ac:dyDescent="0.15">
      <c r="A1577" s="79"/>
      <c r="B1577" s="77" t="str">
        <f t="shared" ca="1" si="48"/>
        <v/>
      </c>
      <c r="C1577" s="11" t="str">
        <f t="shared" ca="1" si="49"/>
        <v/>
      </c>
    </row>
    <row r="1578" spans="1:3" x14ac:dyDescent="0.15">
      <c r="A1578" s="79"/>
      <c r="B1578" s="77" t="str">
        <f t="shared" ca="1" si="48"/>
        <v/>
      </c>
      <c r="C1578" s="11" t="str">
        <f t="shared" ca="1" si="49"/>
        <v/>
      </c>
    </row>
    <row r="1579" spans="1:3" x14ac:dyDescent="0.15">
      <c r="A1579" s="79"/>
      <c r="B1579" s="77" t="str">
        <f t="shared" ca="1" si="48"/>
        <v/>
      </c>
      <c r="C1579" s="11" t="str">
        <f t="shared" ca="1" si="49"/>
        <v/>
      </c>
    </row>
    <row r="1580" spans="1:3" x14ac:dyDescent="0.15">
      <c r="A1580" s="79"/>
      <c r="B1580" s="77" t="str">
        <f t="shared" ca="1" si="48"/>
        <v/>
      </c>
      <c r="C1580" s="11" t="str">
        <f t="shared" ca="1" si="49"/>
        <v/>
      </c>
    </row>
    <row r="1581" spans="1:3" x14ac:dyDescent="0.15">
      <c r="A1581" s="79"/>
      <c r="B1581" s="77" t="str">
        <f t="shared" ca="1" si="48"/>
        <v/>
      </c>
      <c r="C1581" s="11" t="str">
        <f t="shared" ca="1" si="49"/>
        <v/>
      </c>
    </row>
    <row r="1582" spans="1:3" x14ac:dyDescent="0.15">
      <c r="A1582" s="79"/>
      <c r="B1582" s="77" t="str">
        <f t="shared" ca="1" si="48"/>
        <v/>
      </c>
      <c r="C1582" s="11" t="str">
        <f t="shared" ca="1" si="49"/>
        <v/>
      </c>
    </row>
    <row r="1583" spans="1:3" x14ac:dyDescent="0.15">
      <c r="A1583" s="79"/>
      <c r="B1583" s="77" t="str">
        <f t="shared" ca="1" si="48"/>
        <v/>
      </c>
      <c r="C1583" s="11" t="str">
        <f t="shared" ca="1" si="49"/>
        <v/>
      </c>
    </row>
    <row r="1584" spans="1:3" x14ac:dyDescent="0.15">
      <c r="A1584" s="79"/>
      <c r="B1584" s="77" t="str">
        <f t="shared" ca="1" si="48"/>
        <v/>
      </c>
      <c r="C1584" s="11" t="str">
        <f t="shared" ca="1" si="49"/>
        <v/>
      </c>
    </row>
    <row r="1585" spans="1:3" x14ac:dyDescent="0.15">
      <c r="A1585" s="79"/>
      <c r="B1585" s="77" t="str">
        <f t="shared" ca="1" si="48"/>
        <v/>
      </c>
      <c r="C1585" s="11" t="str">
        <f t="shared" ca="1" si="49"/>
        <v/>
      </c>
    </row>
    <row r="1586" spans="1:3" x14ac:dyDescent="0.15">
      <c r="A1586" s="79"/>
      <c r="B1586" s="77" t="str">
        <f t="shared" ca="1" si="48"/>
        <v/>
      </c>
      <c r="C1586" s="11" t="str">
        <f t="shared" ca="1" si="49"/>
        <v/>
      </c>
    </row>
    <row r="1587" spans="1:3" x14ac:dyDescent="0.15">
      <c r="A1587" s="79"/>
      <c r="B1587" s="77" t="str">
        <f t="shared" ca="1" si="48"/>
        <v/>
      </c>
      <c r="C1587" s="11" t="str">
        <f t="shared" ca="1" si="49"/>
        <v/>
      </c>
    </row>
    <row r="1588" spans="1:3" x14ac:dyDescent="0.15">
      <c r="A1588" s="79"/>
      <c r="B1588" s="77" t="str">
        <f t="shared" ca="1" si="48"/>
        <v/>
      </c>
      <c r="C1588" s="11" t="str">
        <f t="shared" ca="1" si="49"/>
        <v/>
      </c>
    </row>
    <row r="1589" spans="1:3" x14ac:dyDescent="0.15">
      <c r="A1589" s="79"/>
      <c r="B1589" s="77" t="str">
        <f t="shared" ca="1" si="48"/>
        <v/>
      </c>
      <c r="C1589" s="11" t="str">
        <f t="shared" ca="1" si="49"/>
        <v/>
      </c>
    </row>
    <row r="1590" spans="1:3" x14ac:dyDescent="0.15">
      <c r="A1590" s="79"/>
      <c r="B1590" s="77" t="str">
        <f t="shared" ca="1" si="48"/>
        <v/>
      </c>
      <c r="C1590" s="11" t="str">
        <f t="shared" ca="1" si="49"/>
        <v/>
      </c>
    </row>
    <row r="1591" spans="1:3" x14ac:dyDescent="0.15">
      <c r="A1591" s="79"/>
      <c r="B1591" s="77" t="str">
        <f t="shared" ca="1" si="48"/>
        <v/>
      </c>
      <c r="C1591" s="11" t="str">
        <f t="shared" ca="1" si="49"/>
        <v/>
      </c>
    </row>
    <row r="1592" spans="1:3" x14ac:dyDescent="0.15">
      <c r="A1592" s="79"/>
      <c r="B1592" s="77" t="str">
        <f t="shared" ca="1" si="48"/>
        <v/>
      </c>
      <c r="C1592" s="11" t="str">
        <f t="shared" ca="1" si="49"/>
        <v/>
      </c>
    </row>
    <row r="1593" spans="1:3" x14ac:dyDescent="0.15">
      <c r="A1593" s="79"/>
      <c r="B1593" s="77" t="str">
        <f t="shared" ca="1" si="48"/>
        <v/>
      </c>
      <c r="C1593" s="11" t="str">
        <f t="shared" ca="1" si="49"/>
        <v/>
      </c>
    </row>
    <row r="1594" spans="1:3" x14ac:dyDescent="0.15">
      <c r="A1594" s="79"/>
      <c r="B1594" s="77" t="str">
        <f t="shared" ca="1" si="48"/>
        <v/>
      </c>
      <c r="C1594" s="11" t="str">
        <f t="shared" ca="1" si="49"/>
        <v/>
      </c>
    </row>
    <row r="1595" spans="1:3" x14ac:dyDescent="0.15">
      <c r="A1595" s="79"/>
      <c r="B1595" s="77" t="str">
        <f t="shared" ca="1" si="48"/>
        <v/>
      </c>
      <c r="C1595" s="11" t="str">
        <f t="shared" ca="1" si="49"/>
        <v/>
      </c>
    </row>
    <row r="1596" spans="1:3" x14ac:dyDescent="0.15">
      <c r="A1596" s="79"/>
      <c r="B1596" s="77" t="str">
        <f t="shared" ca="1" si="48"/>
        <v/>
      </c>
      <c r="C1596" s="11" t="str">
        <f t="shared" ca="1" si="49"/>
        <v/>
      </c>
    </row>
    <row r="1597" spans="1:3" x14ac:dyDescent="0.15">
      <c r="A1597" s="79"/>
      <c r="B1597" s="77" t="str">
        <f t="shared" ca="1" si="48"/>
        <v/>
      </c>
      <c r="C1597" s="11" t="str">
        <f t="shared" ca="1" si="49"/>
        <v/>
      </c>
    </row>
    <row r="1598" spans="1:3" x14ac:dyDescent="0.15">
      <c r="A1598" s="79"/>
      <c r="B1598" s="77" t="str">
        <f t="shared" ca="1" si="48"/>
        <v/>
      </c>
      <c r="C1598" s="11" t="str">
        <f t="shared" ca="1" si="49"/>
        <v/>
      </c>
    </row>
    <row r="1599" spans="1:3" x14ac:dyDescent="0.15">
      <c r="A1599" s="79"/>
      <c r="B1599" s="77" t="str">
        <f t="shared" ca="1" si="48"/>
        <v/>
      </c>
      <c r="C1599" s="11" t="str">
        <f t="shared" ca="1" si="49"/>
        <v/>
      </c>
    </row>
    <row r="1600" spans="1:3" x14ac:dyDescent="0.15">
      <c r="A1600" s="79"/>
      <c r="B1600" s="77" t="str">
        <f t="shared" ca="1" si="48"/>
        <v/>
      </c>
      <c r="C1600" s="11" t="str">
        <f t="shared" ca="1" si="49"/>
        <v/>
      </c>
    </row>
    <row r="1601" spans="1:3" x14ac:dyDescent="0.15">
      <c r="A1601" s="79"/>
      <c r="B1601" s="77" t="str">
        <f t="shared" ca="1" si="48"/>
        <v/>
      </c>
      <c r="C1601" s="11" t="str">
        <f t="shared" ca="1" si="49"/>
        <v/>
      </c>
    </row>
    <row r="1602" spans="1:3" x14ac:dyDescent="0.15">
      <c r="A1602" s="79"/>
      <c r="B1602" s="77" t="str">
        <f t="shared" ref="B1602:B1665" ca="1" si="50">IFERROR(VLOOKUP(TEXT(A1602,"00000000"),analysis_table_by_barcode,15,FALSE),"")</f>
        <v/>
      </c>
      <c r="C1602" s="11" t="str">
        <f t="shared" ref="C1602:C1665" ca="1" si="51">IF($B1602&lt;&gt;"", IF(VLOOKUP(B1602, final_to_ministry_result,2,FALSE)&lt;&gt;"",VLOOKUP(B1602, final_to_ministry_result,2,FALSE),""),"")</f>
        <v/>
      </c>
    </row>
    <row r="1603" spans="1:3" x14ac:dyDescent="0.15">
      <c r="A1603" s="79"/>
      <c r="B1603" s="77" t="str">
        <f t="shared" ca="1" si="50"/>
        <v/>
      </c>
      <c r="C1603" s="11" t="str">
        <f t="shared" ca="1" si="51"/>
        <v/>
      </c>
    </row>
    <row r="1604" spans="1:3" x14ac:dyDescent="0.15">
      <c r="A1604" s="79"/>
      <c r="B1604" s="77" t="str">
        <f t="shared" ca="1" si="50"/>
        <v/>
      </c>
      <c r="C1604" s="11" t="str">
        <f t="shared" ca="1" si="51"/>
        <v/>
      </c>
    </row>
    <row r="1605" spans="1:3" x14ac:dyDescent="0.15">
      <c r="A1605" s="79"/>
      <c r="B1605" s="77" t="str">
        <f t="shared" ca="1" si="50"/>
        <v/>
      </c>
      <c r="C1605" s="11" t="str">
        <f t="shared" ca="1" si="51"/>
        <v/>
      </c>
    </row>
    <row r="1606" spans="1:3" x14ac:dyDescent="0.15">
      <c r="A1606" s="79"/>
      <c r="B1606" s="77" t="str">
        <f t="shared" ca="1" si="50"/>
        <v/>
      </c>
      <c r="C1606" s="11" t="str">
        <f t="shared" ca="1" si="51"/>
        <v/>
      </c>
    </row>
    <row r="1607" spans="1:3" x14ac:dyDescent="0.15">
      <c r="A1607" s="79"/>
      <c r="B1607" s="77" t="str">
        <f t="shared" ca="1" si="50"/>
        <v/>
      </c>
      <c r="C1607" s="11" t="str">
        <f t="shared" ca="1" si="51"/>
        <v/>
      </c>
    </row>
    <row r="1608" spans="1:3" x14ac:dyDescent="0.15">
      <c r="A1608" s="79"/>
      <c r="B1608" s="77" t="str">
        <f t="shared" ca="1" si="50"/>
        <v/>
      </c>
      <c r="C1608" s="11" t="str">
        <f t="shared" ca="1" si="51"/>
        <v/>
      </c>
    </row>
    <row r="1609" spans="1:3" x14ac:dyDescent="0.15">
      <c r="A1609" s="79"/>
      <c r="B1609" s="77" t="str">
        <f t="shared" ca="1" si="50"/>
        <v/>
      </c>
      <c r="C1609" s="11" t="str">
        <f t="shared" ca="1" si="51"/>
        <v/>
      </c>
    </row>
    <row r="1610" spans="1:3" x14ac:dyDescent="0.15">
      <c r="A1610" s="79"/>
      <c r="B1610" s="77" t="str">
        <f t="shared" ca="1" si="50"/>
        <v/>
      </c>
      <c r="C1610" s="11" t="str">
        <f t="shared" ca="1" si="51"/>
        <v/>
      </c>
    </row>
    <row r="1611" spans="1:3" x14ac:dyDescent="0.15">
      <c r="A1611" s="79"/>
      <c r="B1611" s="77" t="str">
        <f t="shared" ca="1" si="50"/>
        <v/>
      </c>
      <c r="C1611" s="11" t="str">
        <f t="shared" ca="1" si="51"/>
        <v/>
      </c>
    </row>
    <row r="1612" spans="1:3" x14ac:dyDescent="0.15">
      <c r="A1612" s="79"/>
      <c r="B1612" s="77" t="str">
        <f t="shared" ca="1" si="50"/>
        <v/>
      </c>
      <c r="C1612" s="11" t="str">
        <f t="shared" ca="1" si="51"/>
        <v/>
      </c>
    </row>
    <row r="1613" spans="1:3" x14ac:dyDescent="0.15">
      <c r="A1613" s="79"/>
      <c r="B1613" s="77" t="str">
        <f t="shared" ca="1" si="50"/>
        <v/>
      </c>
      <c r="C1613" s="11" t="str">
        <f t="shared" ca="1" si="51"/>
        <v/>
      </c>
    </row>
    <row r="1614" spans="1:3" x14ac:dyDescent="0.15">
      <c r="A1614" s="79"/>
      <c r="B1614" s="77" t="str">
        <f t="shared" ca="1" si="50"/>
        <v/>
      </c>
      <c r="C1614" s="11" t="str">
        <f t="shared" ca="1" si="51"/>
        <v/>
      </c>
    </row>
    <row r="1615" spans="1:3" x14ac:dyDescent="0.15">
      <c r="A1615" s="79"/>
      <c r="B1615" s="77" t="str">
        <f t="shared" ca="1" si="50"/>
        <v/>
      </c>
      <c r="C1615" s="11" t="str">
        <f t="shared" ca="1" si="51"/>
        <v/>
      </c>
    </row>
    <row r="1616" spans="1:3" x14ac:dyDescent="0.15">
      <c r="A1616" s="79"/>
      <c r="B1616" s="77" t="str">
        <f t="shared" ca="1" si="50"/>
        <v/>
      </c>
      <c r="C1616" s="11" t="str">
        <f t="shared" ca="1" si="51"/>
        <v/>
      </c>
    </row>
    <row r="1617" spans="1:3" x14ac:dyDescent="0.15">
      <c r="A1617" s="79"/>
      <c r="B1617" s="77" t="str">
        <f t="shared" ca="1" si="50"/>
        <v/>
      </c>
      <c r="C1617" s="11" t="str">
        <f t="shared" ca="1" si="51"/>
        <v/>
      </c>
    </row>
    <row r="1618" spans="1:3" x14ac:dyDescent="0.15">
      <c r="A1618" s="79"/>
      <c r="B1618" s="77" t="str">
        <f t="shared" ca="1" si="50"/>
        <v/>
      </c>
      <c r="C1618" s="11" t="str">
        <f t="shared" ca="1" si="51"/>
        <v/>
      </c>
    </row>
    <row r="1619" spans="1:3" x14ac:dyDescent="0.15">
      <c r="A1619" s="79"/>
      <c r="B1619" s="77" t="str">
        <f t="shared" ca="1" si="50"/>
        <v/>
      </c>
      <c r="C1619" s="11" t="str">
        <f t="shared" ca="1" si="51"/>
        <v/>
      </c>
    </row>
    <row r="1620" spans="1:3" x14ac:dyDescent="0.15">
      <c r="A1620" s="79"/>
      <c r="B1620" s="77" t="str">
        <f t="shared" ca="1" si="50"/>
        <v/>
      </c>
      <c r="C1620" s="11" t="str">
        <f t="shared" ca="1" si="51"/>
        <v/>
      </c>
    </row>
    <row r="1621" spans="1:3" x14ac:dyDescent="0.15">
      <c r="A1621" s="79"/>
      <c r="B1621" s="77" t="str">
        <f t="shared" ca="1" si="50"/>
        <v/>
      </c>
      <c r="C1621" s="11" t="str">
        <f t="shared" ca="1" si="51"/>
        <v/>
      </c>
    </row>
    <row r="1622" spans="1:3" x14ac:dyDescent="0.15">
      <c r="A1622" s="79"/>
      <c r="B1622" s="77" t="str">
        <f t="shared" ca="1" si="50"/>
        <v/>
      </c>
      <c r="C1622" s="11" t="str">
        <f t="shared" ca="1" si="51"/>
        <v/>
      </c>
    </row>
    <row r="1623" spans="1:3" x14ac:dyDescent="0.15">
      <c r="A1623" s="79"/>
      <c r="B1623" s="77" t="str">
        <f t="shared" ca="1" si="50"/>
        <v/>
      </c>
      <c r="C1623" s="11" t="str">
        <f t="shared" ca="1" si="51"/>
        <v/>
      </c>
    </row>
    <row r="1624" spans="1:3" x14ac:dyDescent="0.15">
      <c r="A1624" s="79"/>
      <c r="B1624" s="77" t="str">
        <f t="shared" ca="1" si="50"/>
        <v/>
      </c>
      <c r="C1624" s="11" t="str">
        <f t="shared" ca="1" si="51"/>
        <v/>
      </c>
    </row>
    <row r="1625" spans="1:3" x14ac:dyDescent="0.15">
      <c r="A1625" s="79"/>
      <c r="B1625" s="77" t="str">
        <f t="shared" ca="1" si="50"/>
        <v/>
      </c>
      <c r="C1625" s="11" t="str">
        <f t="shared" ca="1" si="51"/>
        <v/>
      </c>
    </row>
    <row r="1626" spans="1:3" x14ac:dyDescent="0.15">
      <c r="A1626" s="79"/>
      <c r="B1626" s="77" t="str">
        <f t="shared" ca="1" si="50"/>
        <v/>
      </c>
      <c r="C1626" s="11" t="str">
        <f t="shared" ca="1" si="51"/>
        <v/>
      </c>
    </row>
    <row r="1627" spans="1:3" x14ac:dyDescent="0.15">
      <c r="A1627" s="79"/>
      <c r="B1627" s="77" t="str">
        <f t="shared" ca="1" si="50"/>
        <v/>
      </c>
      <c r="C1627" s="11" t="str">
        <f t="shared" ca="1" si="51"/>
        <v/>
      </c>
    </row>
    <row r="1628" spans="1:3" x14ac:dyDescent="0.15">
      <c r="A1628" s="79"/>
      <c r="B1628" s="77" t="str">
        <f t="shared" ca="1" si="50"/>
        <v/>
      </c>
      <c r="C1628" s="11" t="str">
        <f t="shared" ca="1" si="51"/>
        <v/>
      </c>
    </row>
    <row r="1629" spans="1:3" x14ac:dyDescent="0.15">
      <c r="A1629" s="79"/>
      <c r="B1629" s="77" t="str">
        <f t="shared" ca="1" si="50"/>
        <v/>
      </c>
      <c r="C1629" s="11" t="str">
        <f t="shared" ca="1" si="51"/>
        <v/>
      </c>
    </row>
    <row r="1630" spans="1:3" x14ac:dyDescent="0.15">
      <c r="A1630" s="79"/>
      <c r="B1630" s="77" t="str">
        <f t="shared" ca="1" si="50"/>
        <v/>
      </c>
      <c r="C1630" s="11" t="str">
        <f t="shared" ca="1" si="51"/>
        <v/>
      </c>
    </row>
    <row r="1631" spans="1:3" x14ac:dyDescent="0.15">
      <c r="A1631" s="79"/>
      <c r="B1631" s="77" t="str">
        <f t="shared" ca="1" si="50"/>
        <v/>
      </c>
      <c r="C1631" s="11" t="str">
        <f t="shared" ca="1" si="51"/>
        <v/>
      </c>
    </row>
    <row r="1632" spans="1:3" x14ac:dyDescent="0.15">
      <c r="A1632" s="79"/>
      <c r="B1632" s="77" t="str">
        <f t="shared" ca="1" si="50"/>
        <v/>
      </c>
      <c r="C1632" s="11" t="str">
        <f t="shared" ca="1" si="51"/>
        <v/>
      </c>
    </row>
    <row r="1633" spans="1:3" x14ac:dyDescent="0.15">
      <c r="A1633" s="79"/>
      <c r="B1633" s="77" t="str">
        <f t="shared" ca="1" si="50"/>
        <v/>
      </c>
      <c r="C1633" s="11" t="str">
        <f t="shared" ca="1" si="51"/>
        <v/>
      </c>
    </row>
    <row r="1634" spans="1:3" x14ac:dyDescent="0.15">
      <c r="A1634" s="79"/>
      <c r="B1634" s="77" t="str">
        <f t="shared" ca="1" si="50"/>
        <v/>
      </c>
      <c r="C1634" s="11" t="str">
        <f t="shared" ca="1" si="51"/>
        <v/>
      </c>
    </row>
    <row r="1635" spans="1:3" x14ac:dyDescent="0.15">
      <c r="A1635" s="79"/>
      <c r="B1635" s="77" t="str">
        <f t="shared" ca="1" si="50"/>
        <v/>
      </c>
      <c r="C1635" s="11" t="str">
        <f t="shared" ca="1" si="51"/>
        <v/>
      </c>
    </row>
    <row r="1636" spans="1:3" x14ac:dyDescent="0.15">
      <c r="A1636" s="79"/>
      <c r="B1636" s="77" t="str">
        <f t="shared" ca="1" si="50"/>
        <v/>
      </c>
      <c r="C1636" s="11" t="str">
        <f t="shared" ca="1" si="51"/>
        <v/>
      </c>
    </row>
    <row r="1637" spans="1:3" x14ac:dyDescent="0.15">
      <c r="A1637" s="79"/>
      <c r="B1637" s="77" t="str">
        <f t="shared" ca="1" si="50"/>
        <v/>
      </c>
      <c r="C1637" s="11" t="str">
        <f t="shared" ca="1" si="51"/>
        <v/>
      </c>
    </row>
    <row r="1638" spans="1:3" x14ac:dyDescent="0.15">
      <c r="A1638" s="79"/>
      <c r="B1638" s="77" t="str">
        <f t="shared" ca="1" si="50"/>
        <v/>
      </c>
      <c r="C1638" s="11" t="str">
        <f t="shared" ca="1" si="51"/>
        <v/>
      </c>
    </row>
    <row r="1639" spans="1:3" x14ac:dyDescent="0.15">
      <c r="A1639" s="79"/>
      <c r="B1639" s="77" t="str">
        <f t="shared" ca="1" si="50"/>
        <v/>
      </c>
      <c r="C1639" s="11" t="str">
        <f t="shared" ca="1" si="51"/>
        <v/>
      </c>
    </row>
    <row r="1640" spans="1:3" x14ac:dyDescent="0.15">
      <c r="A1640" s="79"/>
      <c r="B1640" s="77" t="str">
        <f t="shared" ca="1" si="50"/>
        <v/>
      </c>
      <c r="C1640" s="11" t="str">
        <f t="shared" ca="1" si="51"/>
        <v/>
      </c>
    </row>
    <row r="1641" spans="1:3" x14ac:dyDescent="0.15">
      <c r="A1641" s="79"/>
      <c r="B1641" s="77" t="str">
        <f t="shared" ca="1" si="50"/>
        <v/>
      </c>
      <c r="C1641" s="11" t="str">
        <f t="shared" ca="1" si="51"/>
        <v/>
      </c>
    </row>
    <row r="1642" spans="1:3" x14ac:dyDescent="0.15">
      <c r="A1642" s="79"/>
      <c r="B1642" s="77" t="str">
        <f t="shared" ca="1" si="50"/>
        <v/>
      </c>
      <c r="C1642" s="11" t="str">
        <f t="shared" ca="1" si="51"/>
        <v/>
      </c>
    </row>
    <row r="1643" spans="1:3" x14ac:dyDescent="0.15">
      <c r="A1643" s="79"/>
      <c r="B1643" s="77" t="str">
        <f t="shared" ca="1" si="50"/>
        <v/>
      </c>
      <c r="C1643" s="11" t="str">
        <f t="shared" ca="1" si="51"/>
        <v/>
      </c>
    </row>
    <row r="1644" spans="1:3" x14ac:dyDescent="0.15">
      <c r="A1644" s="79"/>
      <c r="B1644" s="77" t="str">
        <f t="shared" ca="1" si="50"/>
        <v/>
      </c>
      <c r="C1644" s="11" t="str">
        <f t="shared" ca="1" si="51"/>
        <v/>
      </c>
    </row>
    <row r="1645" spans="1:3" x14ac:dyDescent="0.15">
      <c r="A1645" s="79"/>
      <c r="B1645" s="77" t="str">
        <f t="shared" ca="1" si="50"/>
        <v/>
      </c>
      <c r="C1645" s="11" t="str">
        <f t="shared" ca="1" si="51"/>
        <v/>
      </c>
    </row>
    <row r="1646" spans="1:3" x14ac:dyDescent="0.15">
      <c r="A1646" s="79"/>
      <c r="B1646" s="77" t="str">
        <f t="shared" ca="1" si="50"/>
        <v/>
      </c>
      <c r="C1646" s="11" t="str">
        <f t="shared" ca="1" si="51"/>
        <v/>
      </c>
    </row>
    <row r="1647" spans="1:3" x14ac:dyDescent="0.15">
      <c r="A1647" s="79"/>
      <c r="B1647" s="77" t="str">
        <f t="shared" ca="1" si="50"/>
        <v/>
      </c>
      <c r="C1647" s="11" t="str">
        <f t="shared" ca="1" si="51"/>
        <v/>
      </c>
    </row>
    <row r="1648" spans="1:3" x14ac:dyDescent="0.15">
      <c r="A1648" s="79"/>
      <c r="B1648" s="77" t="str">
        <f t="shared" ca="1" si="50"/>
        <v/>
      </c>
      <c r="C1648" s="11" t="str">
        <f t="shared" ca="1" si="51"/>
        <v/>
      </c>
    </row>
    <row r="1649" spans="1:3" x14ac:dyDescent="0.15">
      <c r="A1649" s="79"/>
      <c r="B1649" s="77" t="str">
        <f t="shared" ca="1" si="50"/>
        <v/>
      </c>
      <c r="C1649" s="11" t="str">
        <f t="shared" ca="1" si="51"/>
        <v/>
      </c>
    </row>
    <row r="1650" spans="1:3" x14ac:dyDescent="0.15">
      <c r="A1650" s="79"/>
      <c r="B1650" s="77" t="str">
        <f t="shared" ca="1" si="50"/>
        <v/>
      </c>
      <c r="C1650" s="11" t="str">
        <f t="shared" ca="1" si="51"/>
        <v/>
      </c>
    </row>
    <row r="1651" spans="1:3" x14ac:dyDescent="0.15">
      <c r="A1651" s="79"/>
      <c r="B1651" s="77" t="str">
        <f t="shared" ca="1" si="50"/>
        <v/>
      </c>
      <c r="C1651" s="11" t="str">
        <f t="shared" ca="1" si="51"/>
        <v/>
      </c>
    </row>
    <row r="1652" spans="1:3" x14ac:dyDescent="0.15">
      <c r="A1652" s="79"/>
      <c r="B1652" s="77" t="str">
        <f t="shared" ca="1" si="50"/>
        <v/>
      </c>
      <c r="C1652" s="11" t="str">
        <f t="shared" ca="1" si="51"/>
        <v/>
      </c>
    </row>
    <row r="1653" spans="1:3" x14ac:dyDescent="0.15">
      <c r="A1653" s="79"/>
      <c r="B1653" s="77" t="str">
        <f t="shared" ca="1" si="50"/>
        <v/>
      </c>
      <c r="C1653" s="11" t="str">
        <f t="shared" ca="1" si="51"/>
        <v/>
      </c>
    </row>
    <row r="1654" spans="1:3" x14ac:dyDescent="0.15">
      <c r="A1654" s="79"/>
      <c r="B1654" s="77" t="str">
        <f t="shared" ca="1" si="50"/>
        <v/>
      </c>
      <c r="C1654" s="11" t="str">
        <f t="shared" ca="1" si="51"/>
        <v/>
      </c>
    </row>
    <row r="1655" spans="1:3" x14ac:dyDescent="0.15">
      <c r="A1655" s="79"/>
      <c r="B1655" s="77" t="str">
        <f t="shared" ca="1" si="50"/>
        <v/>
      </c>
      <c r="C1655" s="11" t="str">
        <f t="shared" ca="1" si="51"/>
        <v/>
      </c>
    </row>
    <row r="1656" spans="1:3" x14ac:dyDescent="0.15">
      <c r="A1656" s="79"/>
      <c r="B1656" s="77" t="str">
        <f t="shared" ca="1" si="50"/>
        <v/>
      </c>
      <c r="C1656" s="11" t="str">
        <f t="shared" ca="1" si="51"/>
        <v/>
      </c>
    </row>
    <row r="1657" spans="1:3" x14ac:dyDescent="0.15">
      <c r="A1657" s="79"/>
      <c r="B1657" s="77" t="str">
        <f t="shared" ca="1" si="50"/>
        <v/>
      </c>
      <c r="C1657" s="11" t="str">
        <f t="shared" ca="1" si="51"/>
        <v/>
      </c>
    </row>
    <row r="1658" spans="1:3" x14ac:dyDescent="0.15">
      <c r="A1658" s="79"/>
      <c r="B1658" s="77" t="str">
        <f t="shared" ca="1" si="50"/>
        <v/>
      </c>
      <c r="C1658" s="11" t="str">
        <f t="shared" ca="1" si="51"/>
        <v/>
      </c>
    </row>
    <row r="1659" spans="1:3" x14ac:dyDescent="0.15">
      <c r="A1659" s="79"/>
      <c r="B1659" s="77" t="str">
        <f t="shared" ca="1" si="50"/>
        <v/>
      </c>
      <c r="C1659" s="11" t="str">
        <f t="shared" ca="1" si="51"/>
        <v/>
      </c>
    </row>
    <row r="1660" spans="1:3" x14ac:dyDescent="0.15">
      <c r="A1660" s="79"/>
      <c r="B1660" s="77" t="str">
        <f t="shared" ca="1" si="50"/>
        <v/>
      </c>
      <c r="C1660" s="11" t="str">
        <f t="shared" ca="1" si="51"/>
        <v/>
      </c>
    </row>
    <row r="1661" spans="1:3" x14ac:dyDescent="0.15">
      <c r="A1661" s="79"/>
      <c r="B1661" s="77" t="str">
        <f t="shared" ca="1" si="50"/>
        <v/>
      </c>
      <c r="C1661" s="11" t="str">
        <f t="shared" ca="1" si="51"/>
        <v/>
      </c>
    </row>
    <row r="1662" spans="1:3" x14ac:dyDescent="0.15">
      <c r="A1662" s="79"/>
      <c r="B1662" s="77" t="str">
        <f t="shared" ca="1" si="50"/>
        <v/>
      </c>
      <c r="C1662" s="11" t="str">
        <f t="shared" ca="1" si="51"/>
        <v/>
      </c>
    </row>
    <row r="1663" spans="1:3" x14ac:dyDescent="0.15">
      <c r="A1663" s="79"/>
      <c r="B1663" s="77" t="str">
        <f t="shared" ca="1" si="50"/>
        <v/>
      </c>
      <c r="C1663" s="11" t="str">
        <f t="shared" ca="1" si="51"/>
        <v/>
      </c>
    </row>
    <row r="1664" spans="1:3" x14ac:dyDescent="0.15">
      <c r="A1664" s="79"/>
      <c r="B1664" s="77" t="str">
        <f t="shared" ca="1" si="50"/>
        <v/>
      </c>
      <c r="C1664" s="11" t="str">
        <f t="shared" ca="1" si="51"/>
        <v/>
      </c>
    </row>
    <row r="1665" spans="1:3" x14ac:dyDescent="0.15">
      <c r="A1665" s="79"/>
      <c r="B1665" s="77" t="str">
        <f t="shared" ca="1" si="50"/>
        <v/>
      </c>
      <c r="C1665" s="11" t="str">
        <f t="shared" ca="1" si="51"/>
        <v/>
      </c>
    </row>
    <row r="1666" spans="1:3" x14ac:dyDescent="0.15">
      <c r="A1666" s="79"/>
      <c r="B1666" s="77" t="str">
        <f t="shared" ref="B1666:B1729" ca="1" si="52">IFERROR(VLOOKUP(TEXT(A1666,"00000000"),analysis_table_by_barcode,15,FALSE),"")</f>
        <v/>
      </c>
      <c r="C1666" s="11" t="str">
        <f t="shared" ref="C1666:C1729" ca="1" si="53">IF($B1666&lt;&gt;"", IF(VLOOKUP(B1666, final_to_ministry_result,2,FALSE)&lt;&gt;"",VLOOKUP(B1666, final_to_ministry_result,2,FALSE),""),"")</f>
        <v/>
      </c>
    </row>
    <row r="1667" spans="1:3" x14ac:dyDescent="0.15">
      <c r="A1667" s="79"/>
      <c r="B1667" s="77" t="str">
        <f t="shared" ca="1" si="52"/>
        <v/>
      </c>
      <c r="C1667" s="11" t="str">
        <f t="shared" ca="1" si="53"/>
        <v/>
      </c>
    </row>
    <row r="1668" spans="1:3" x14ac:dyDescent="0.15">
      <c r="A1668" s="79"/>
      <c r="B1668" s="77" t="str">
        <f t="shared" ca="1" si="52"/>
        <v/>
      </c>
      <c r="C1668" s="11" t="str">
        <f t="shared" ca="1" si="53"/>
        <v/>
      </c>
    </row>
    <row r="1669" spans="1:3" x14ac:dyDescent="0.15">
      <c r="A1669" s="79"/>
      <c r="B1669" s="77" t="str">
        <f t="shared" ca="1" si="52"/>
        <v/>
      </c>
      <c r="C1669" s="11" t="str">
        <f t="shared" ca="1" si="53"/>
        <v/>
      </c>
    </row>
    <row r="1670" spans="1:3" x14ac:dyDescent="0.15">
      <c r="A1670" s="79"/>
      <c r="B1670" s="77" t="str">
        <f t="shared" ca="1" si="52"/>
        <v/>
      </c>
      <c r="C1670" s="11" t="str">
        <f t="shared" ca="1" si="53"/>
        <v/>
      </c>
    </row>
    <row r="1671" spans="1:3" x14ac:dyDescent="0.15">
      <c r="A1671" s="79"/>
      <c r="B1671" s="77" t="str">
        <f t="shared" ca="1" si="52"/>
        <v/>
      </c>
      <c r="C1671" s="11" t="str">
        <f t="shared" ca="1" si="53"/>
        <v/>
      </c>
    </row>
    <row r="1672" spans="1:3" x14ac:dyDescent="0.15">
      <c r="A1672" s="79"/>
      <c r="B1672" s="77" t="str">
        <f t="shared" ca="1" si="52"/>
        <v/>
      </c>
      <c r="C1672" s="11" t="str">
        <f t="shared" ca="1" si="53"/>
        <v/>
      </c>
    </row>
    <row r="1673" spans="1:3" x14ac:dyDescent="0.15">
      <c r="A1673" s="79"/>
      <c r="B1673" s="77" t="str">
        <f t="shared" ca="1" si="52"/>
        <v/>
      </c>
      <c r="C1673" s="11" t="str">
        <f t="shared" ca="1" si="53"/>
        <v/>
      </c>
    </row>
    <row r="1674" spans="1:3" x14ac:dyDescent="0.15">
      <c r="A1674" s="79"/>
      <c r="B1674" s="77" t="str">
        <f t="shared" ca="1" si="52"/>
        <v/>
      </c>
      <c r="C1674" s="11" t="str">
        <f t="shared" ca="1" si="53"/>
        <v/>
      </c>
    </row>
    <row r="1675" spans="1:3" x14ac:dyDescent="0.15">
      <c r="A1675" s="79"/>
      <c r="B1675" s="77" t="str">
        <f t="shared" ca="1" si="52"/>
        <v/>
      </c>
      <c r="C1675" s="11" t="str">
        <f t="shared" ca="1" si="53"/>
        <v/>
      </c>
    </row>
    <row r="1676" spans="1:3" x14ac:dyDescent="0.15">
      <c r="A1676" s="79"/>
      <c r="B1676" s="77" t="str">
        <f t="shared" ca="1" si="52"/>
        <v/>
      </c>
      <c r="C1676" s="11" t="str">
        <f t="shared" ca="1" si="53"/>
        <v/>
      </c>
    </row>
    <row r="1677" spans="1:3" x14ac:dyDescent="0.15">
      <c r="A1677" s="79"/>
      <c r="B1677" s="77" t="str">
        <f t="shared" ca="1" si="52"/>
        <v/>
      </c>
      <c r="C1677" s="11" t="str">
        <f t="shared" ca="1" si="53"/>
        <v/>
      </c>
    </row>
    <row r="1678" spans="1:3" x14ac:dyDescent="0.15">
      <c r="A1678" s="79"/>
      <c r="B1678" s="77" t="str">
        <f t="shared" ca="1" si="52"/>
        <v/>
      </c>
      <c r="C1678" s="11" t="str">
        <f t="shared" ca="1" si="53"/>
        <v/>
      </c>
    </row>
    <row r="1679" spans="1:3" x14ac:dyDescent="0.15">
      <c r="A1679" s="79"/>
      <c r="B1679" s="77" t="str">
        <f t="shared" ca="1" si="52"/>
        <v/>
      </c>
      <c r="C1679" s="11" t="str">
        <f t="shared" ca="1" si="53"/>
        <v/>
      </c>
    </row>
    <row r="1680" spans="1:3" x14ac:dyDescent="0.15">
      <c r="A1680" s="79"/>
      <c r="B1680" s="77" t="str">
        <f t="shared" ca="1" si="52"/>
        <v/>
      </c>
      <c r="C1680" s="11" t="str">
        <f t="shared" ca="1" si="53"/>
        <v/>
      </c>
    </row>
    <row r="1681" spans="1:3" x14ac:dyDescent="0.15">
      <c r="A1681" s="79"/>
      <c r="B1681" s="77" t="str">
        <f t="shared" ca="1" si="52"/>
        <v/>
      </c>
      <c r="C1681" s="11" t="str">
        <f t="shared" ca="1" si="53"/>
        <v/>
      </c>
    </row>
    <row r="1682" spans="1:3" x14ac:dyDescent="0.15">
      <c r="A1682" s="79"/>
      <c r="B1682" s="77" t="str">
        <f t="shared" ca="1" si="52"/>
        <v/>
      </c>
      <c r="C1682" s="11" t="str">
        <f t="shared" ca="1" si="53"/>
        <v/>
      </c>
    </row>
    <row r="1683" spans="1:3" x14ac:dyDescent="0.15">
      <c r="A1683" s="79"/>
      <c r="B1683" s="77" t="str">
        <f t="shared" ca="1" si="52"/>
        <v/>
      </c>
      <c r="C1683" s="11" t="str">
        <f t="shared" ca="1" si="53"/>
        <v/>
      </c>
    </row>
    <row r="1684" spans="1:3" x14ac:dyDescent="0.15">
      <c r="A1684" s="79"/>
      <c r="B1684" s="77" t="str">
        <f t="shared" ca="1" si="52"/>
        <v/>
      </c>
      <c r="C1684" s="11" t="str">
        <f t="shared" ca="1" si="53"/>
        <v/>
      </c>
    </row>
    <row r="1685" spans="1:3" x14ac:dyDescent="0.15">
      <c r="A1685" s="79"/>
      <c r="B1685" s="77" t="str">
        <f t="shared" ca="1" si="52"/>
        <v/>
      </c>
      <c r="C1685" s="11" t="str">
        <f t="shared" ca="1" si="53"/>
        <v/>
      </c>
    </row>
    <row r="1686" spans="1:3" x14ac:dyDescent="0.15">
      <c r="A1686" s="79"/>
      <c r="B1686" s="77" t="str">
        <f t="shared" ca="1" si="52"/>
        <v/>
      </c>
      <c r="C1686" s="11" t="str">
        <f t="shared" ca="1" si="53"/>
        <v/>
      </c>
    </row>
    <row r="1687" spans="1:3" x14ac:dyDescent="0.15">
      <c r="A1687" s="79"/>
      <c r="B1687" s="77" t="str">
        <f t="shared" ca="1" si="52"/>
        <v/>
      </c>
      <c r="C1687" s="11" t="str">
        <f t="shared" ca="1" si="53"/>
        <v/>
      </c>
    </row>
    <row r="1688" spans="1:3" x14ac:dyDescent="0.15">
      <c r="A1688" s="79"/>
      <c r="B1688" s="77" t="str">
        <f t="shared" ca="1" si="52"/>
        <v/>
      </c>
      <c r="C1688" s="11" t="str">
        <f t="shared" ca="1" si="53"/>
        <v/>
      </c>
    </row>
    <row r="1689" spans="1:3" x14ac:dyDescent="0.15">
      <c r="A1689" s="79"/>
      <c r="B1689" s="77" t="str">
        <f t="shared" ca="1" si="52"/>
        <v/>
      </c>
      <c r="C1689" s="11" t="str">
        <f t="shared" ca="1" si="53"/>
        <v/>
      </c>
    </row>
    <row r="1690" spans="1:3" x14ac:dyDescent="0.15">
      <c r="A1690" s="79"/>
      <c r="B1690" s="77" t="str">
        <f t="shared" ca="1" si="52"/>
        <v/>
      </c>
      <c r="C1690" s="11" t="str">
        <f t="shared" ca="1" si="53"/>
        <v/>
      </c>
    </row>
    <row r="1691" spans="1:3" x14ac:dyDescent="0.15">
      <c r="A1691" s="79"/>
      <c r="B1691" s="77" t="str">
        <f t="shared" ca="1" si="52"/>
        <v/>
      </c>
      <c r="C1691" s="11" t="str">
        <f t="shared" ca="1" si="53"/>
        <v/>
      </c>
    </row>
    <row r="1692" spans="1:3" x14ac:dyDescent="0.15">
      <c r="A1692" s="79"/>
      <c r="B1692" s="77" t="str">
        <f t="shared" ca="1" si="52"/>
        <v/>
      </c>
      <c r="C1692" s="11" t="str">
        <f t="shared" ca="1" si="53"/>
        <v/>
      </c>
    </row>
    <row r="1693" spans="1:3" x14ac:dyDescent="0.15">
      <c r="A1693" s="79"/>
      <c r="B1693" s="77" t="str">
        <f t="shared" ca="1" si="52"/>
        <v/>
      </c>
      <c r="C1693" s="11" t="str">
        <f t="shared" ca="1" si="53"/>
        <v/>
      </c>
    </row>
    <row r="1694" spans="1:3" x14ac:dyDescent="0.15">
      <c r="A1694" s="79"/>
      <c r="B1694" s="77" t="str">
        <f t="shared" ca="1" si="52"/>
        <v/>
      </c>
      <c r="C1694" s="11" t="str">
        <f t="shared" ca="1" si="53"/>
        <v/>
      </c>
    </row>
    <row r="1695" spans="1:3" x14ac:dyDescent="0.15">
      <c r="A1695" s="79"/>
      <c r="B1695" s="77" t="str">
        <f t="shared" ca="1" si="52"/>
        <v/>
      </c>
      <c r="C1695" s="11" t="str">
        <f t="shared" ca="1" si="53"/>
        <v/>
      </c>
    </row>
    <row r="1696" spans="1:3" x14ac:dyDescent="0.15">
      <c r="A1696" s="79"/>
      <c r="B1696" s="77" t="str">
        <f t="shared" ca="1" si="52"/>
        <v/>
      </c>
      <c r="C1696" s="11" t="str">
        <f t="shared" ca="1" si="53"/>
        <v/>
      </c>
    </row>
    <row r="1697" spans="1:3" x14ac:dyDescent="0.15">
      <c r="A1697" s="79"/>
      <c r="B1697" s="77" t="str">
        <f t="shared" ca="1" si="52"/>
        <v/>
      </c>
      <c r="C1697" s="11" t="str">
        <f t="shared" ca="1" si="53"/>
        <v/>
      </c>
    </row>
    <row r="1698" spans="1:3" x14ac:dyDescent="0.15">
      <c r="A1698" s="79"/>
      <c r="B1698" s="77" t="str">
        <f t="shared" ca="1" si="52"/>
        <v/>
      </c>
      <c r="C1698" s="11" t="str">
        <f t="shared" ca="1" si="53"/>
        <v/>
      </c>
    </row>
    <row r="1699" spans="1:3" x14ac:dyDescent="0.15">
      <c r="A1699" s="79"/>
      <c r="B1699" s="77" t="str">
        <f t="shared" ca="1" si="52"/>
        <v/>
      </c>
      <c r="C1699" s="11" t="str">
        <f t="shared" ca="1" si="53"/>
        <v/>
      </c>
    </row>
    <row r="1700" spans="1:3" x14ac:dyDescent="0.15">
      <c r="A1700" s="79"/>
      <c r="B1700" s="77" t="str">
        <f t="shared" ca="1" si="52"/>
        <v/>
      </c>
      <c r="C1700" s="11" t="str">
        <f t="shared" ca="1" si="53"/>
        <v/>
      </c>
    </row>
    <row r="1701" spans="1:3" x14ac:dyDescent="0.15">
      <c r="A1701" s="79"/>
      <c r="B1701" s="77" t="str">
        <f t="shared" ca="1" si="52"/>
        <v/>
      </c>
      <c r="C1701" s="11" t="str">
        <f t="shared" ca="1" si="53"/>
        <v/>
      </c>
    </row>
    <row r="1702" spans="1:3" x14ac:dyDescent="0.15">
      <c r="A1702" s="79"/>
      <c r="B1702" s="77" t="str">
        <f t="shared" ca="1" si="52"/>
        <v/>
      </c>
      <c r="C1702" s="11" t="str">
        <f t="shared" ca="1" si="53"/>
        <v/>
      </c>
    </row>
    <row r="1703" spans="1:3" x14ac:dyDescent="0.15">
      <c r="A1703" s="79"/>
      <c r="B1703" s="77" t="str">
        <f t="shared" ca="1" si="52"/>
        <v/>
      </c>
      <c r="C1703" s="11" t="str">
        <f t="shared" ca="1" si="53"/>
        <v/>
      </c>
    </row>
    <row r="1704" spans="1:3" x14ac:dyDescent="0.15">
      <c r="A1704" s="79"/>
      <c r="B1704" s="77" t="str">
        <f t="shared" ca="1" si="52"/>
        <v/>
      </c>
      <c r="C1704" s="11" t="str">
        <f t="shared" ca="1" si="53"/>
        <v/>
      </c>
    </row>
    <row r="1705" spans="1:3" x14ac:dyDescent="0.15">
      <c r="A1705" s="79"/>
      <c r="B1705" s="77" t="str">
        <f t="shared" ca="1" si="52"/>
        <v/>
      </c>
      <c r="C1705" s="11" t="str">
        <f t="shared" ca="1" si="53"/>
        <v/>
      </c>
    </row>
    <row r="1706" spans="1:3" x14ac:dyDescent="0.15">
      <c r="A1706" s="79"/>
      <c r="B1706" s="77" t="str">
        <f t="shared" ca="1" si="52"/>
        <v/>
      </c>
      <c r="C1706" s="11" t="str">
        <f t="shared" ca="1" si="53"/>
        <v/>
      </c>
    </row>
    <row r="1707" spans="1:3" x14ac:dyDescent="0.15">
      <c r="A1707" s="79"/>
      <c r="B1707" s="77" t="str">
        <f t="shared" ca="1" si="52"/>
        <v/>
      </c>
      <c r="C1707" s="11" t="str">
        <f t="shared" ca="1" si="53"/>
        <v/>
      </c>
    </row>
    <row r="1708" spans="1:3" x14ac:dyDescent="0.15">
      <c r="A1708" s="79"/>
      <c r="B1708" s="77" t="str">
        <f t="shared" ca="1" si="52"/>
        <v/>
      </c>
      <c r="C1708" s="11" t="str">
        <f t="shared" ca="1" si="53"/>
        <v/>
      </c>
    </row>
    <row r="1709" spans="1:3" x14ac:dyDescent="0.15">
      <c r="A1709" s="79"/>
      <c r="B1709" s="77" t="str">
        <f t="shared" ca="1" si="52"/>
        <v/>
      </c>
      <c r="C1709" s="11" t="str">
        <f t="shared" ca="1" si="53"/>
        <v/>
      </c>
    </row>
    <row r="1710" spans="1:3" x14ac:dyDescent="0.15">
      <c r="A1710" s="79"/>
      <c r="B1710" s="77" t="str">
        <f t="shared" ca="1" si="52"/>
        <v/>
      </c>
      <c r="C1710" s="11" t="str">
        <f t="shared" ca="1" si="53"/>
        <v/>
      </c>
    </row>
    <row r="1711" spans="1:3" x14ac:dyDescent="0.15">
      <c r="A1711" s="79"/>
      <c r="B1711" s="77" t="str">
        <f t="shared" ca="1" si="52"/>
        <v/>
      </c>
      <c r="C1711" s="11" t="str">
        <f t="shared" ca="1" si="53"/>
        <v/>
      </c>
    </row>
    <row r="1712" spans="1:3" x14ac:dyDescent="0.15">
      <c r="A1712" s="79"/>
      <c r="B1712" s="77" t="str">
        <f t="shared" ca="1" si="52"/>
        <v/>
      </c>
      <c r="C1712" s="11" t="str">
        <f t="shared" ca="1" si="53"/>
        <v/>
      </c>
    </row>
    <row r="1713" spans="1:3" x14ac:dyDescent="0.15">
      <c r="A1713" s="79"/>
      <c r="B1713" s="77" t="str">
        <f t="shared" ca="1" si="52"/>
        <v/>
      </c>
      <c r="C1713" s="11" t="str">
        <f t="shared" ca="1" si="53"/>
        <v/>
      </c>
    </row>
    <row r="1714" spans="1:3" x14ac:dyDescent="0.15">
      <c r="A1714" s="79"/>
      <c r="B1714" s="77" t="str">
        <f t="shared" ca="1" si="52"/>
        <v/>
      </c>
      <c r="C1714" s="11" t="str">
        <f t="shared" ca="1" si="53"/>
        <v/>
      </c>
    </row>
    <row r="1715" spans="1:3" x14ac:dyDescent="0.15">
      <c r="A1715" s="79"/>
      <c r="B1715" s="77" t="str">
        <f t="shared" ca="1" si="52"/>
        <v/>
      </c>
      <c r="C1715" s="11" t="str">
        <f t="shared" ca="1" si="53"/>
        <v/>
      </c>
    </row>
    <row r="1716" spans="1:3" x14ac:dyDescent="0.15">
      <c r="A1716" s="79"/>
      <c r="B1716" s="77" t="str">
        <f t="shared" ca="1" si="52"/>
        <v/>
      </c>
      <c r="C1716" s="11" t="str">
        <f t="shared" ca="1" si="53"/>
        <v/>
      </c>
    </row>
    <row r="1717" spans="1:3" x14ac:dyDescent="0.15">
      <c r="A1717" s="79"/>
      <c r="B1717" s="77" t="str">
        <f t="shared" ca="1" si="52"/>
        <v/>
      </c>
      <c r="C1717" s="11" t="str">
        <f t="shared" ca="1" si="53"/>
        <v/>
      </c>
    </row>
    <row r="1718" spans="1:3" x14ac:dyDescent="0.15">
      <c r="A1718" s="79"/>
      <c r="B1718" s="77" t="str">
        <f t="shared" ca="1" si="52"/>
        <v/>
      </c>
      <c r="C1718" s="11" t="str">
        <f t="shared" ca="1" si="53"/>
        <v/>
      </c>
    </row>
    <row r="1719" spans="1:3" x14ac:dyDescent="0.15">
      <c r="A1719" s="79"/>
      <c r="B1719" s="77" t="str">
        <f t="shared" ca="1" si="52"/>
        <v/>
      </c>
      <c r="C1719" s="11" t="str">
        <f t="shared" ca="1" si="53"/>
        <v/>
      </c>
    </row>
    <row r="1720" spans="1:3" x14ac:dyDescent="0.15">
      <c r="A1720" s="79"/>
      <c r="B1720" s="77" t="str">
        <f t="shared" ca="1" si="52"/>
        <v/>
      </c>
      <c r="C1720" s="11" t="str">
        <f t="shared" ca="1" si="53"/>
        <v/>
      </c>
    </row>
    <row r="1721" spans="1:3" x14ac:dyDescent="0.15">
      <c r="A1721" s="79"/>
      <c r="B1721" s="77" t="str">
        <f t="shared" ca="1" si="52"/>
        <v/>
      </c>
      <c r="C1721" s="11" t="str">
        <f t="shared" ca="1" si="53"/>
        <v/>
      </c>
    </row>
    <row r="1722" spans="1:3" x14ac:dyDescent="0.15">
      <c r="A1722" s="79"/>
      <c r="B1722" s="77" t="str">
        <f t="shared" ca="1" si="52"/>
        <v/>
      </c>
      <c r="C1722" s="11" t="str">
        <f t="shared" ca="1" si="53"/>
        <v/>
      </c>
    </row>
    <row r="1723" spans="1:3" x14ac:dyDescent="0.15">
      <c r="A1723" s="79"/>
      <c r="B1723" s="77" t="str">
        <f t="shared" ca="1" si="52"/>
        <v/>
      </c>
      <c r="C1723" s="11" t="str">
        <f t="shared" ca="1" si="53"/>
        <v/>
      </c>
    </row>
    <row r="1724" spans="1:3" x14ac:dyDescent="0.15">
      <c r="A1724" s="79"/>
      <c r="B1724" s="77" t="str">
        <f t="shared" ca="1" si="52"/>
        <v/>
      </c>
      <c r="C1724" s="11" t="str">
        <f t="shared" ca="1" si="53"/>
        <v/>
      </c>
    </row>
    <row r="1725" spans="1:3" x14ac:dyDescent="0.15">
      <c r="A1725" s="79"/>
      <c r="B1725" s="77" t="str">
        <f t="shared" ca="1" si="52"/>
        <v/>
      </c>
      <c r="C1725" s="11" t="str">
        <f t="shared" ca="1" si="53"/>
        <v/>
      </c>
    </row>
    <row r="1726" spans="1:3" x14ac:dyDescent="0.15">
      <c r="A1726" s="79"/>
      <c r="B1726" s="77" t="str">
        <f t="shared" ca="1" si="52"/>
        <v/>
      </c>
      <c r="C1726" s="11" t="str">
        <f t="shared" ca="1" si="53"/>
        <v/>
      </c>
    </row>
    <row r="1727" spans="1:3" x14ac:dyDescent="0.15">
      <c r="A1727" s="79"/>
      <c r="B1727" s="77" t="str">
        <f t="shared" ca="1" si="52"/>
        <v/>
      </c>
      <c r="C1727" s="11" t="str">
        <f t="shared" ca="1" si="53"/>
        <v/>
      </c>
    </row>
    <row r="1728" spans="1:3" x14ac:dyDescent="0.15">
      <c r="A1728" s="79"/>
      <c r="B1728" s="77" t="str">
        <f t="shared" ca="1" si="52"/>
        <v/>
      </c>
      <c r="C1728" s="11" t="str">
        <f t="shared" ca="1" si="53"/>
        <v/>
      </c>
    </row>
    <row r="1729" spans="1:3" x14ac:dyDescent="0.15">
      <c r="A1729" s="79"/>
      <c r="B1729" s="77" t="str">
        <f t="shared" ca="1" si="52"/>
        <v/>
      </c>
      <c r="C1729" s="11" t="str">
        <f t="shared" ca="1" si="53"/>
        <v/>
      </c>
    </row>
    <row r="1730" spans="1:3" x14ac:dyDescent="0.15">
      <c r="A1730" s="79"/>
      <c r="B1730" s="77" t="str">
        <f t="shared" ref="B1730:B1793" ca="1" si="54">IFERROR(VLOOKUP(TEXT(A1730,"00000000"),analysis_table_by_barcode,15,FALSE),"")</f>
        <v/>
      </c>
      <c r="C1730" s="11" t="str">
        <f t="shared" ref="C1730:C1793" ca="1" si="55">IF($B1730&lt;&gt;"", IF(VLOOKUP(B1730, final_to_ministry_result,2,FALSE)&lt;&gt;"",VLOOKUP(B1730, final_to_ministry_result,2,FALSE),""),"")</f>
        <v/>
      </c>
    </row>
    <row r="1731" spans="1:3" x14ac:dyDescent="0.15">
      <c r="A1731" s="79"/>
      <c r="B1731" s="77" t="str">
        <f t="shared" ca="1" si="54"/>
        <v/>
      </c>
      <c r="C1731" s="11" t="str">
        <f t="shared" ca="1" si="55"/>
        <v/>
      </c>
    </row>
    <row r="1732" spans="1:3" x14ac:dyDescent="0.15">
      <c r="A1732" s="79"/>
      <c r="B1732" s="77" t="str">
        <f t="shared" ca="1" si="54"/>
        <v/>
      </c>
      <c r="C1732" s="11" t="str">
        <f t="shared" ca="1" si="55"/>
        <v/>
      </c>
    </row>
    <row r="1733" spans="1:3" x14ac:dyDescent="0.15">
      <c r="A1733" s="79"/>
      <c r="B1733" s="77" t="str">
        <f t="shared" ca="1" si="54"/>
        <v/>
      </c>
      <c r="C1733" s="11" t="str">
        <f t="shared" ca="1" si="55"/>
        <v/>
      </c>
    </row>
    <row r="1734" spans="1:3" x14ac:dyDescent="0.15">
      <c r="A1734" s="79"/>
      <c r="B1734" s="77" t="str">
        <f t="shared" ca="1" si="54"/>
        <v/>
      </c>
      <c r="C1734" s="11" t="str">
        <f t="shared" ca="1" si="55"/>
        <v/>
      </c>
    </row>
    <row r="1735" spans="1:3" x14ac:dyDescent="0.15">
      <c r="A1735" s="79"/>
      <c r="B1735" s="77" t="str">
        <f t="shared" ca="1" si="54"/>
        <v/>
      </c>
      <c r="C1735" s="11" t="str">
        <f t="shared" ca="1" si="55"/>
        <v/>
      </c>
    </row>
    <row r="1736" spans="1:3" x14ac:dyDescent="0.15">
      <c r="A1736" s="79"/>
      <c r="B1736" s="77" t="str">
        <f t="shared" ca="1" si="54"/>
        <v/>
      </c>
      <c r="C1736" s="11" t="str">
        <f t="shared" ca="1" si="55"/>
        <v/>
      </c>
    </row>
    <row r="1737" spans="1:3" x14ac:dyDescent="0.15">
      <c r="A1737" s="79"/>
      <c r="B1737" s="77" t="str">
        <f t="shared" ca="1" si="54"/>
        <v/>
      </c>
      <c r="C1737" s="11" t="str">
        <f t="shared" ca="1" si="55"/>
        <v/>
      </c>
    </row>
    <row r="1738" spans="1:3" x14ac:dyDescent="0.15">
      <c r="A1738" s="79"/>
      <c r="B1738" s="77" t="str">
        <f t="shared" ca="1" si="54"/>
        <v/>
      </c>
      <c r="C1738" s="11" t="str">
        <f t="shared" ca="1" si="55"/>
        <v/>
      </c>
    </row>
    <row r="1739" spans="1:3" x14ac:dyDescent="0.15">
      <c r="A1739" s="79"/>
      <c r="B1739" s="77" t="str">
        <f t="shared" ca="1" si="54"/>
        <v/>
      </c>
      <c r="C1739" s="11" t="str">
        <f t="shared" ca="1" si="55"/>
        <v/>
      </c>
    </row>
    <row r="1740" spans="1:3" x14ac:dyDescent="0.15">
      <c r="A1740" s="79"/>
      <c r="B1740" s="77" t="str">
        <f t="shared" ca="1" si="54"/>
        <v/>
      </c>
      <c r="C1740" s="11" t="str">
        <f t="shared" ca="1" si="55"/>
        <v/>
      </c>
    </row>
    <row r="1741" spans="1:3" x14ac:dyDescent="0.15">
      <c r="A1741" s="79"/>
      <c r="B1741" s="77" t="str">
        <f t="shared" ca="1" si="54"/>
        <v/>
      </c>
      <c r="C1741" s="11" t="str">
        <f t="shared" ca="1" si="55"/>
        <v/>
      </c>
    </row>
    <row r="1742" spans="1:3" x14ac:dyDescent="0.15">
      <c r="A1742" s="79"/>
      <c r="B1742" s="77" t="str">
        <f t="shared" ca="1" si="54"/>
        <v/>
      </c>
      <c r="C1742" s="11" t="str">
        <f t="shared" ca="1" si="55"/>
        <v/>
      </c>
    </row>
    <row r="1743" spans="1:3" x14ac:dyDescent="0.15">
      <c r="A1743" s="79"/>
      <c r="B1743" s="77" t="str">
        <f t="shared" ca="1" si="54"/>
        <v/>
      </c>
      <c r="C1743" s="11" t="str">
        <f t="shared" ca="1" si="55"/>
        <v/>
      </c>
    </row>
    <row r="1744" spans="1:3" x14ac:dyDescent="0.15">
      <c r="A1744" s="79"/>
      <c r="B1744" s="77" t="str">
        <f t="shared" ca="1" si="54"/>
        <v/>
      </c>
      <c r="C1744" s="11" t="str">
        <f t="shared" ca="1" si="55"/>
        <v/>
      </c>
    </row>
    <row r="1745" spans="1:3" x14ac:dyDescent="0.15">
      <c r="A1745" s="79"/>
      <c r="B1745" s="77" t="str">
        <f t="shared" ca="1" si="54"/>
        <v/>
      </c>
      <c r="C1745" s="11" t="str">
        <f t="shared" ca="1" si="55"/>
        <v/>
      </c>
    </row>
    <row r="1746" spans="1:3" x14ac:dyDescent="0.15">
      <c r="A1746" s="79"/>
      <c r="B1746" s="77" t="str">
        <f t="shared" ca="1" si="54"/>
        <v/>
      </c>
      <c r="C1746" s="11" t="str">
        <f t="shared" ca="1" si="55"/>
        <v/>
      </c>
    </row>
    <row r="1747" spans="1:3" x14ac:dyDescent="0.15">
      <c r="A1747" s="79"/>
      <c r="B1747" s="77" t="str">
        <f t="shared" ca="1" si="54"/>
        <v/>
      </c>
      <c r="C1747" s="11" t="str">
        <f t="shared" ca="1" si="55"/>
        <v/>
      </c>
    </row>
    <row r="1748" spans="1:3" x14ac:dyDescent="0.15">
      <c r="A1748" s="79"/>
      <c r="B1748" s="77" t="str">
        <f t="shared" ca="1" si="54"/>
        <v/>
      </c>
      <c r="C1748" s="11" t="str">
        <f t="shared" ca="1" si="55"/>
        <v/>
      </c>
    </row>
    <row r="1749" spans="1:3" x14ac:dyDescent="0.15">
      <c r="A1749" s="79"/>
      <c r="B1749" s="77" t="str">
        <f t="shared" ca="1" si="54"/>
        <v/>
      </c>
      <c r="C1749" s="11" t="str">
        <f t="shared" ca="1" si="55"/>
        <v/>
      </c>
    </row>
    <row r="1750" spans="1:3" x14ac:dyDescent="0.15">
      <c r="A1750" s="79"/>
      <c r="B1750" s="77" t="str">
        <f t="shared" ca="1" si="54"/>
        <v/>
      </c>
      <c r="C1750" s="11" t="str">
        <f t="shared" ca="1" si="55"/>
        <v/>
      </c>
    </row>
    <row r="1751" spans="1:3" x14ac:dyDescent="0.15">
      <c r="A1751" s="79"/>
      <c r="B1751" s="77" t="str">
        <f t="shared" ca="1" si="54"/>
        <v/>
      </c>
      <c r="C1751" s="11" t="str">
        <f t="shared" ca="1" si="55"/>
        <v/>
      </c>
    </row>
    <row r="1752" spans="1:3" x14ac:dyDescent="0.15">
      <c r="A1752" s="79"/>
      <c r="B1752" s="77" t="str">
        <f t="shared" ca="1" si="54"/>
        <v/>
      </c>
      <c r="C1752" s="11" t="str">
        <f t="shared" ca="1" si="55"/>
        <v/>
      </c>
    </row>
    <row r="1753" spans="1:3" x14ac:dyDescent="0.15">
      <c r="A1753" s="79"/>
      <c r="B1753" s="77" t="str">
        <f t="shared" ca="1" si="54"/>
        <v/>
      </c>
      <c r="C1753" s="11" t="str">
        <f t="shared" ca="1" si="55"/>
        <v/>
      </c>
    </row>
    <row r="1754" spans="1:3" x14ac:dyDescent="0.15">
      <c r="A1754" s="79"/>
      <c r="B1754" s="77" t="str">
        <f t="shared" ca="1" si="54"/>
        <v/>
      </c>
      <c r="C1754" s="11" t="str">
        <f t="shared" ca="1" si="55"/>
        <v/>
      </c>
    </row>
    <row r="1755" spans="1:3" x14ac:dyDescent="0.15">
      <c r="A1755" s="79"/>
      <c r="B1755" s="77" t="str">
        <f t="shared" ca="1" si="54"/>
        <v/>
      </c>
      <c r="C1755" s="11" t="str">
        <f t="shared" ca="1" si="55"/>
        <v/>
      </c>
    </row>
    <row r="1756" spans="1:3" x14ac:dyDescent="0.15">
      <c r="A1756" s="79"/>
      <c r="B1756" s="77" t="str">
        <f t="shared" ca="1" si="54"/>
        <v/>
      </c>
      <c r="C1756" s="11" t="str">
        <f t="shared" ca="1" si="55"/>
        <v/>
      </c>
    </row>
    <row r="1757" spans="1:3" x14ac:dyDescent="0.15">
      <c r="A1757" s="79"/>
      <c r="B1757" s="77" t="str">
        <f t="shared" ca="1" si="54"/>
        <v/>
      </c>
      <c r="C1757" s="11" t="str">
        <f t="shared" ca="1" si="55"/>
        <v/>
      </c>
    </row>
    <row r="1758" spans="1:3" x14ac:dyDescent="0.15">
      <c r="A1758" s="79"/>
      <c r="B1758" s="77" t="str">
        <f t="shared" ca="1" si="54"/>
        <v/>
      </c>
      <c r="C1758" s="11" t="str">
        <f t="shared" ca="1" si="55"/>
        <v/>
      </c>
    </row>
    <row r="1759" spans="1:3" x14ac:dyDescent="0.15">
      <c r="A1759" s="79"/>
      <c r="B1759" s="77" t="str">
        <f t="shared" ca="1" si="54"/>
        <v/>
      </c>
      <c r="C1759" s="11" t="str">
        <f t="shared" ca="1" si="55"/>
        <v/>
      </c>
    </row>
    <row r="1760" spans="1:3" x14ac:dyDescent="0.15">
      <c r="A1760" s="79"/>
      <c r="B1760" s="77" t="str">
        <f t="shared" ca="1" si="54"/>
        <v/>
      </c>
      <c r="C1760" s="11" t="str">
        <f t="shared" ca="1" si="55"/>
        <v/>
      </c>
    </row>
    <row r="1761" spans="1:3" x14ac:dyDescent="0.15">
      <c r="A1761" s="79"/>
      <c r="B1761" s="77" t="str">
        <f t="shared" ca="1" si="54"/>
        <v/>
      </c>
      <c r="C1761" s="11" t="str">
        <f t="shared" ca="1" si="55"/>
        <v/>
      </c>
    </row>
    <row r="1762" spans="1:3" x14ac:dyDescent="0.15">
      <c r="A1762" s="79"/>
      <c r="B1762" s="77" t="str">
        <f t="shared" ca="1" si="54"/>
        <v/>
      </c>
      <c r="C1762" s="11" t="str">
        <f t="shared" ca="1" si="55"/>
        <v/>
      </c>
    </row>
    <row r="1763" spans="1:3" x14ac:dyDescent="0.15">
      <c r="A1763" s="79"/>
      <c r="B1763" s="77" t="str">
        <f t="shared" ca="1" si="54"/>
        <v/>
      </c>
      <c r="C1763" s="11" t="str">
        <f t="shared" ca="1" si="55"/>
        <v/>
      </c>
    </row>
    <row r="1764" spans="1:3" x14ac:dyDescent="0.15">
      <c r="A1764" s="79"/>
      <c r="B1764" s="77" t="str">
        <f t="shared" ca="1" si="54"/>
        <v/>
      </c>
      <c r="C1764" s="11" t="str">
        <f t="shared" ca="1" si="55"/>
        <v/>
      </c>
    </row>
    <row r="1765" spans="1:3" x14ac:dyDescent="0.15">
      <c r="A1765" s="79"/>
      <c r="B1765" s="77" t="str">
        <f t="shared" ca="1" si="54"/>
        <v/>
      </c>
      <c r="C1765" s="11" t="str">
        <f t="shared" ca="1" si="55"/>
        <v/>
      </c>
    </row>
    <row r="1766" spans="1:3" x14ac:dyDescent="0.15">
      <c r="A1766" s="79"/>
      <c r="B1766" s="77" t="str">
        <f t="shared" ca="1" si="54"/>
        <v/>
      </c>
      <c r="C1766" s="11" t="str">
        <f t="shared" ca="1" si="55"/>
        <v/>
      </c>
    </row>
    <row r="1767" spans="1:3" x14ac:dyDescent="0.15">
      <c r="A1767" s="79"/>
      <c r="B1767" s="77" t="str">
        <f t="shared" ca="1" si="54"/>
        <v/>
      </c>
      <c r="C1767" s="11" t="str">
        <f t="shared" ca="1" si="55"/>
        <v/>
      </c>
    </row>
    <row r="1768" spans="1:3" x14ac:dyDescent="0.15">
      <c r="A1768" s="79"/>
      <c r="B1768" s="77" t="str">
        <f t="shared" ca="1" si="54"/>
        <v/>
      </c>
      <c r="C1768" s="11" t="str">
        <f t="shared" ca="1" si="55"/>
        <v/>
      </c>
    </row>
    <row r="1769" spans="1:3" x14ac:dyDescent="0.15">
      <c r="A1769" s="79"/>
      <c r="B1769" s="77" t="str">
        <f t="shared" ca="1" si="54"/>
        <v/>
      </c>
      <c r="C1769" s="11" t="str">
        <f t="shared" ca="1" si="55"/>
        <v/>
      </c>
    </row>
    <row r="1770" spans="1:3" x14ac:dyDescent="0.15">
      <c r="A1770" s="79"/>
      <c r="B1770" s="77" t="str">
        <f t="shared" ca="1" si="54"/>
        <v/>
      </c>
      <c r="C1770" s="11" t="str">
        <f t="shared" ca="1" si="55"/>
        <v/>
      </c>
    </row>
    <row r="1771" spans="1:3" x14ac:dyDescent="0.15">
      <c r="A1771" s="79"/>
      <c r="B1771" s="77" t="str">
        <f t="shared" ca="1" si="54"/>
        <v/>
      </c>
      <c r="C1771" s="11" t="str">
        <f t="shared" ca="1" si="55"/>
        <v/>
      </c>
    </row>
    <row r="1772" spans="1:3" x14ac:dyDescent="0.15">
      <c r="A1772" s="79"/>
      <c r="B1772" s="77" t="str">
        <f t="shared" ca="1" si="54"/>
        <v/>
      </c>
      <c r="C1772" s="11" t="str">
        <f t="shared" ca="1" si="55"/>
        <v/>
      </c>
    </row>
    <row r="1773" spans="1:3" x14ac:dyDescent="0.15">
      <c r="A1773" s="79"/>
      <c r="B1773" s="77" t="str">
        <f t="shared" ca="1" si="54"/>
        <v/>
      </c>
      <c r="C1773" s="11" t="str">
        <f t="shared" ca="1" si="55"/>
        <v/>
      </c>
    </row>
    <row r="1774" spans="1:3" x14ac:dyDescent="0.15">
      <c r="A1774" s="79"/>
      <c r="B1774" s="77" t="str">
        <f t="shared" ca="1" si="54"/>
        <v/>
      </c>
      <c r="C1774" s="11" t="str">
        <f t="shared" ca="1" si="55"/>
        <v/>
      </c>
    </row>
    <row r="1775" spans="1:3" x14ac:dyDescent="0.15">
      <c r="A1775" s="79"/>
      <c r="B1775" s="77" t="str">
        <f t="shared" ca="1" si="54"/>
        <v/>
      </c>
      <c r="C1775" s="11" t="str">
        <f t="shared" ca="1" si="55"/>
        <v/>
      </c>
    </row>
    <row r="1776" spans="1:3" x14ac:dyDescent="0.15">
      <c r="A1776" s="79"/>
      <c r="B1776" s="77" t="str">
        <f t="shared" ca="1" si="54"/>
        <v/>
      </c>
      <c r="C1776" s="11" t="str">
        <f t="shared" ca="1" si="55"/>
        <v/>
      </c>
    </row>
    <row r="1777" spans="1:3" x14ac:dyDescent="0.15">
      <c r="A1777" s="79"/>
      <c r="B1777" s="77" t="str">
        <f t="shared" ca="1" si="54"/>
        <v/>
      </c>
      <c r="C1777" s="11" t="str">
        <f t="shared" ca="1" si="55"/>
        <v/>
      </c>
    </row>
    <row r="1778" spans="1:3" x14ac:dyDescent="0.15">
      <c r="A1778" s="79"/>
      <c r="B1778" s="77" t="str">
        <f t="shared" ca="1" si="54"/>
        <v/>
      </c>
      <c r="C1778" s="11" t="str">
        <f t="shared" ca="1" si="55"/>
        <v/>
      </c>
    </row>
    <row r="1779" spans="1:3" x14ac:dyDescent="0.15">
      <c r="A1779" s="79"/>
      <c r="B1779" s="77" t="str">
        <f t="shared" ca="1" si="54"/>
        <v/>
      </c>
      <c r="C1779" s="11" t="str">
        <f t="shared" ca="1" si="55"/>
        <v/>
      </c>
    </row>
    <row r="1780" spans="1:3" x14ac:dyDescent="0.15">
      <c r="A1780" s="79"/>
      <c r="B1780" s="77" t="str">
        <f t="shared" ca="1" si="54"/>
        <v/>
      </c>
      <c r="C1780" s="11" t="str">
        <f t="shared" ca="1" si="55"/>
        <v/>
      </c>
    </row>
    <row r="1781" spans="1:3" x14ac:dyDescent="0.15">
      <c r="A1781" s="79"/>
      <c r="B1781" s="77" t="str">
        <f t="shared" ca="1" si="54"/>
        <v/>
      </c>
      <c r="C1781" s="11" t="str">
        <f t="shared" ca="1" si="55"/>
        <v/>
      </c>
    </row>
    <row r="1782" spans="1:3" x14ac:dyDescent="0.15">
      <c r="A1782" s="79"/>
      <c r="B1782" s="77" t="str">
        <f t="shared" ca="1" si="54"/>
        <v/>
      </c>
      <c r="C1782" s="11" t="str">
        <f t="shared" ca="1" si="55"/>
        <v/>
      </c>
    </row>
    <row r="1783" spans="1:3" x14ac:dyDescent="0.15">
      <c r="A1783" s="79"/>
      <c r="B1783" s="77" t="str">
        <f t="shared" ca="1" si="54"/>
        <v/>
      </c>
      <c r="C1783" s="11" t="str">
        <f t="shared" ca="1" si="55"/>
        <v/>
      </c>
    </row>
    <row r="1784" spans="1:3" x14ac:dyDescent="0.15">
      <c r="A1784" s="79"/>
      <c r="B1784" s="77" t="str">
        <f t="shared" ca="1" si="54"/>
        <v/>
      </c>
      <c r="C1784" s="11" t="str">
        <f t="shared" ca="1" si="55"/>
        <v/>
      </c>
    </row>
    <row r="1785" spans="1:3" x14ac:dyDescent="0.15">
      <c r="A1785" s="79"/>
      <c r="B1785" s="77" t="str">
        <f t="shared" ca="1" si="54"/>
        <v/>
      </c>
      <c r="C1785" s="11" t="str">
        <f t="shared" ca="1" si="55"/>
        <v/>
      </c>
    </row>
    <row r="1786" spans="1:3" x14ac:dyDescent="0.15">
      <c r="A1786" s="79"/>
      <c r="B1786" s="77" t="str">
        <f t="shared" ca="1" si="54"/>
        <v/>
      </c>
      <c r="C1786" s="11" t="str">
        <f t="shared" ca="1" si="55"/>
        <v/>
      </c>
    </row>
    <row r="1787" spans="1:3" x14ac:dyDescent="0.15">
      <c r="A1787" s="79"/>
      <c r="B1787" s="77" t="str">
        <f t="shared" ca="1" si="54"/>
        <v/>
      </c>
      <c r="C1787" s="11" t="str">
        <f t="shared" ca="1" si="55"/>
        <v/>
      </c>
    </row>
    <row r="1788" spans="1:3" x14ac:dyDescent="0.15">
      <c r="A1788" s="79"/>
      <c r="B1788" s="77" t="str">
        <f t="shared" ca="1" si="54"/>
        <v/>
      </c>
      <c r="C1788" s="11" t="str">
        <f t="shared" ca="1" si="55"/>
        <v/>
      </c>
    </row>
    <row r="1789" spans="1:3" x14ac:dyDescent="0.15">
      <c r="A1789" s="79"/>
      <c r="B1789" s="77" t="str">
        <f t="shared" ca="1" si="54"/>
        <v/>
      </c>
      <c r="C1789" s="11" t="str">
        <f t="shared" ca="1" si="55"/>
        <v/>
      </c>
    </row>
    <row r="1790" spans="1:3" x14ac:dyDescent="0.15">
      <c r="A1790" s="79"/>
      <c r="B1790" s="77" t="str">
        <f t="shared" ca="1" si="54"/>
        <v/>
      </c>
      <c r="C1790" s="11" t="str">
        <f t="shared" ca="1" si="55"/>
        <v/>
      </c>
    </row>
    <row r="1791" spans="1:3" x14ac:dyDescent="0.15">
      <c r="A1791" s="79"/>
      <c r="B1791" s="77" t="str">
        <f t="shared" ca="1" si="54"/>
        <v/>
      </c>
      <c r="C1791" s="11" t="str">
        <f t="shared" ca="1" si="55"/>
        <v/>
      </c>
    </row>
    <row r="1792" spans="1:3" x14ac:dyDescent="0.15">
      <c r="A1792" s="79"/>
      <c r="B1792" s="77" t="str">
        <f t="shared" ca="1" si="54"/>
        <v/>
      </c>
      <c r="C1792" s="11" t="str">
        <f t="shared" ca="1" si="55"/>
        <v/>
      </c>
    </row>
    <row r="1793" spans="1:3" x14ac:dyDescent="0.15">
      <c r="A1793" s="79"/>
      <c r="B1793" s="77" t="str">
        <f t="shared" ca="1" si="54"/>
        <v/>
      </c>
      <c r="C1793" s="11" t="str">
        <f t="shared" ca="1" si="55"/>
        <v/>
      </c>
    </row>
    <row r="1794" spans="1:3" x14ac:dyDescent="0.15">
      <c r="A1794" s="79"/>
      <c r="B1794" s="77" t="str">
        <f t="shared" ref="B1794:B1857" ca="1" si="56">IFERROR(VLOOKUP(TEXT(A1794,"00000000"),analysis_table_by_barcode,15,FALSE),"")</f>
        <v/>
      </c>
      <c r="C1794" s="11" t="str">
        <f t="shared" ref="C1794:C1857" ca="1" si="57">IF($B1794&lt;&gt;"", IF(VLOOKUP(B1794, final_to_ministry_result,2,FALSE)&lt;&gt;"",VLOOKUP(B1794, final_to_ministry_result,2,FALSE),""),"")</f>
        <v/>
      </c>
    </row>
    <row r="1795" spans="1:3" x14ac:dyDescent="0.15">
      <c r="A1795" s="79"/>
      <c r="B1795" s="77" t="str">
        <f t="shared" ca="1" si="56"/>
        <v/>
      </c>
      <c r="C1795" s="11" t="str">
        <f t="shared" ca="1" si="57"/>
        <v/>
      </c>
    </row>
    <row r="1796" spans="1:3" x14ac:dyDescent="0.15">
      <c r="A1796" s="79"/>
      <c r="B1796" s="77" t="str">
        <f t="shared" ca="1" si="56"/>
        <v/>
      </c>
      <c r="C1796" s="11" t="str">
        <f t="shared" ca="1" si="57"/>
        <v/>
      </c>
    </row>
    <row r="1797" spans="1:3" x14ac:dyDescent="0.15">
      <c r="A1797" s="79"/>
      <c r="B1797" s="77" t="str">
        <f t="shared" ca="1" si="56"/>
        <v/>
      </c>
      <c r="C1797" s="11" t="str">
        <f t="shared" ca="1" si="57"/>
        <v/>
      </c>
    </row>
    <row r="1798" spans="1:3" x14ac:dyDescent="0.15">
      <c r="A1798" s="79"/>
      <c r="B1798" s="77" t="str">
        <f t="shared" ca="1" si="56"/>
        <v/>
      </c>
      <c r="C1798" s="11" t="str">
        <f t="shared" ca="1" si="57"/>
        <v/>
      </c>
    </row>
    <row r="1799" spans="1:3" x14ac:dyDescent="0.15">
      <c r="A1799" s="79"/>
      <c r="B1799" s="77" t="str">
        <f t="shared" ca="1" si="56"/>
        <v/>
      </c>
      <c r="C1799" s="11" t="str">
        <f t="shared" ca="1" si="57"/>
        <v/>
      </c>
    </row>
    <row r="1800" spans="1:3" x14ac:dyDescent="0.15">
      <c r="A1800" s="79"/>
      <c r="B1800" s="77" t="str">
        <f t="shared" ca="1" si="56"/>
        <v/>
      </c>
      <c r="C1800" s="11" t="str">
        <f t="shared" ca="1" si="57"/>
        <v/>
      </c>
    </row>
    <row r="1801" spans="1:3" x14ac:dyDescent="0.15">
      <c r="A1801" s="79"/>
      <c r="B1801" s="77" t="str">
        <f t="shared" ca="1" si="56"/>
        <v/>
      </c>
      <c r="C1801" s="11" t="str">
        <f t="shared" ca="1" si="57"/>
        <v/>
      </c>
    </row>
    <row r="1802" spans="1:3" x14ac:dyDescent="0.15">
      <c r="A1802" s="79"/>
      <c r="B1802" s="77" t="str">
        <f t="shared" ca="1" si="56"/>
        <v/>
      </c>
      <c r="C1802" s="11" t="str">
        <f t="shared" ca="1" si="57"/>
        <v/>
      </c>
    </row>
    <row r="1803" spans="1:3" x14ac:dyDescent="0.15">
      <c r="A1803" s="79"/>
      <c r="B1803" s="77" t="str">
        <f t="shared" ca="1" si="56"/>
        <v/>
      </c>
      <c r="C1803" s="11" t="str">
        <f t="shared" ca="1" si="57"/>
        <v/>
      </c>
    </row>
    <row r="1804" spans="1:3" x14ac:dyDescent="0.15">
      <c r="A1804" s="79"/>
      <c r="B1804" s="77" t="str">
        <f t="shared" ca="1" si="56"/>
        <v/>
      </c>
      <c r="C1804" s="11" t="str">
        <f t="shared" ca="1" si="57"/>
        <v/>
      </c>
    </row>
    <row r="1805" spans="1:3" x14ac:dyDescent="0.15">
      <c r="A1805" s="79"/>
      <c r="B1805" s="77" t="str">
        <f t="shared" ca="1" si="56"/>
        <v/>
      </c>
      <c r="C1805" s="11" t="str">
        <f t="shared" ca="1" si="57"/>
        <v/>
      </c>
    </row>
    <row r="1806" spans="1:3" x14ac:dyDescent="0.15">
      <c r="A1806" s="79"/>
      <c r="B1806" s="77" t="str">
        <f t="shared" ca="1" si="56"/>
        <v/>
      </c>
      <c r="C1806" s="11" t="str">
        <f t="shared" ca="1" si="57"/>
        <v/>
      </c>
    </row>
    <row r="1807" spans="1:3" x14ac:dyDescent="0.15">
      <c r="A1807" s="79"/>
      <c r="B1807" s="77" t="str">
        <f t="shared" ca="1" si="56"/>
        <v/>
      </c>
      <c r="C1807" s="11" t="str">
        <f t="shared" ca="1" si="57"/>
        <v/>
      </c>
    </row>
    <row r="1808" spans="1:3" x14ac:dyDescent="0.15">
      <c r="A1808" s="79"/>
      <c r="B1808" s="77" t="str">
        <f t="shared" ca="1" si="56"/>
        <v/>
      </c>
      <c r="C1808" s="11" t="str">
        <f t="shared" ca="1" si="57"/>
        <v/>
      </c>
    </row>
    <row r="1809" spans="1:3" x14ac:dyDescent="0.15">
      <c r="A1809" s="79"/>
      <c r="B1809" s="77" t="str">
        <f t="shared" ca="1" si="56"/>
        <v/>
      </c>
      <c r="C1809" s="11" t="str">
        <f t="shared" ca="1" si="57"/>
        <v/>
      </c>
    </row>
    <row r="1810" spans="1:3" x14ac:dyDescent="0.15">
      <c r="A1810" s="79"/>
      <c r="B1810" s="77" t="str">
        <f t="shared" ca="1" si="56"/>
        <v/>
      </c>
      <c r="C1810" s="11" t="str">
        <f t="shared" ca="1" si="57"/>
        <v/>
      </c>
    </row>
    <row r="1811" spans="1:3" x14ac:dyDescent="0.15">
      <c r="A1811" s="79"/>
      <c r="B1811" s="77" t="str">
        <f t="shared" ca="1" si="56"/>
        <v/>
      </c>
      <c r="C1811" s="11" t="str">
        <f t="shared" ca="1" si="57"/>
        <v/>
      </c>
    </row>
    <row r="1812" spans="1:3" x14ac:dyDescent="0.15">
      <c r="A1812" s="79"/>
      <c r="B1812" s="77" t="str">
        <f t="shared" ca="1" si="56"/>
        <v/>
      </c>
      <c r="C1812" s="11" t="str">
        <f t="shared" ca="1" si="57"/>
        <v/>
      </c>
    </row>
    <row r="1813" spans="1:3" x14ac:dyDescent="0.15">
      <c r="A1813" s="79"/>
      <c r="B1813" s="77" t="str">
        <f t="shared" ca="1" si="56"/>
        <v/>
      </c>
      <c r="C1813" s="11" t="str">
        <f t="shared" ca="1" si="57"/>
        <v/>
      </c>
    </row>
    <row r="1814" spans="1:3" x14ac:dyDescent="0.15">
      <c r="A1814" s="79"/>
      <c r="B1814" s="77" t="str">
        <f t="shared" ca="1" si="56"/>
        <v/>
      </c>
      <c r="C1814" s="11" t="str">
        <f t="shared" ca="1" si="57"/>
        <v/>
      </c>
    </row>
    <row r="1815" spans="1:3" x14ac:dyDescent="0.15">
      <c r="A1815" s="79"/>
      <c r="B1815" s="77" t="str">
        <f t="shared" ca="1" si="56"/>
        <v/>
      </c>
      <c r="C1815" s="11" t="str">
        <f t="shared" ca="1" si="57"/>
        <v/>
      </c>
    </row>
    <row r="1816" spans="1:3" x14ac:dyDescent="0.15">
      <c r="A1816" s="79"/>
      <c r="B1816" s="77" t="str">
        <f t="shared" ca="1" si="56"/>
        <v/>
      </c>
      <c r="C1816" s="11" t="str">
        <f t="shared" ca="1" si="57"/>
        <v/>
      </c>
    </row>
    <row r="1817" spans="1:3" x14ac:dyDescent="0.15">
      <c r="A1817" s="79"/>
      <c r="B1817" s="77" t="str">
        <f t="shared" ca="1" si="56"/>
        <v/>
      </c>
      <c r="C1817" s="11" t="str">
        <f t="shared" ca="1" si="57"/>
        <v/>
      </c>
    </row>
    <row r="1818" spans="1:3" x14ac:dyDescent="0.15">
      <c r="A1818" s="79"/>
      <c r="B1818" s="77" t="str">
        <f t="shared" ca="1" si="56"/>
        <v/>
      </c>
      <c r="C1818" s="11" t="str">
        <f t="shared" ca="1" si="57"/>
        <v/>
      </c>
    </row>
    <row r="1819" spans="1:3" x14ac:dyDescent="0.15">
      <c r="A1819" s="79"/>
      <c r="B1819" s="77" t="str">
        <f t="shared" ca="1" si="56"/>
        <v/>
      </c>
      <c r="C1819" s="11" t="str">
        <f t="shared" ca="1" si="57"/>
        <v/>
      </c>
    </row>
    <row r="1820" spans="1:3" x14ac:dyDescent="0.15">
      <c r="A1820" s="79"/>
      <c r="B1820" s="77" t="str">
        <f t="shared" ca="1" si="56"/>
        <v/>
      </c>
      <c r="C1820" s="11" t="str">
        <f t="shared" ca="1" si="57"/>
        <v/>
      </c>
    </row>
    <row r="1821" spans="1:3" x14ac:dyDescent="0.15">
      <c r="A1821" s="79"/>
      <c r="B1821" s="77" t="str">
        <f t="shared" ca="1" si="56"/>
        <v/>
      </c>
      <c r="C1821" s="11" t="str">
        <f t="shared" ca="1" si="57"/>
        <v/>
      </c>
    </row>
    <row r="1822" spans="1:3" x14ac:dyDescent="0.15">
      <c r="A1822" s="79"/>
      <c r="B1822" s="77" t="str">
        <f t="shared" ca="1" si="56"/>
        <v/>
      </c>
      <c r="C1822" s="11" t="str">
        <f t="shared" ca="1" si="57"/>
        <v/>
      </c>
    </row>
    <row r="1823" spans="1:3" x14ac:dyDescent="0.15">
      <c r="A1823" s="79"/>
      <c r="B1823" s="77" t="str">
        <f t="shared" ca="1" si="56"/>
        <v/>
      </c>
      <c r="C1823" s="11" t="str">
        <f t="shared" ca="1" si="57"/>
        <v/>
      </c>
    </row>
    <row r="1824" spans="1:3" x14ac:dyDescent="0.15">
      <c r="A1824" s="79"/>
      <c r="B1824" s="77" t="str">
        <f t="shared" ca="1" si="56"/>
        <v/>
      </c>
      <c r="C1824" s="11" t="str">
        <f t="shared" ca="1" si="57"/>
        <v/>
      </c>
    </row>
    <row r="1825" spans="1:3" x14ac:dyDescent="0.15">
      <c r="A1825" s="79"/>
      <c r="B1825" s="77" t="str">
        <f t="shared" ca="1" si="56"/>
        <v/>
      </c>
      <c r="C1825" s="11" t="str">
        <f t="shared" ca="1" si="57"/>
        <v/>
      </c>
    </row>
    <row r="1826" spans="1:3" x14ac:dyDescent="0.15">
      <c r="A1826" s="79"/>
      <c r="B1826" s="77" t="str">
        <f t="shared" ca="1" si="56"/>
        <v/>
      </c>
      <c r="C1826" s="11" t="str">
        <f t="shared" ca="1" si="57"/>
        <v/>
      </c>
    </row>
    <row r="1827" spans="1:3" x14ac:dyDescent="0.15">
      <c r="A1827" s="79"/>
      <c r="B1827" s="77" t="str">
        <f t="shared" ca="1" si="56"/>
        <v/>
      </c>
      <c r="C1827" s="11" t="str">
        <f t="shared" ca="1" si="57"/>
        <v/>
      </c>
    </row>
    <row r="1828" spans="1:3" x14ac:dyDescent="0.15">
      <c r="A1828" s="79"/>
      <c r="B1828" s="77" t="str">
        <f t="shared" ca="1" si="56"/>
        <v/>
      </c>
      <c r="C1828" s="11" t="str">
        <f t="shared" ca="1" si="57"/>
        <v/>
      </c>
    </row>
    <row r="1829" spans="1:3" x14ac:dyDescent="0.15">
      <c r="A1829" s="79"/>
      <c r="B1829" s="77" t="str">
        <f t="shared" ca="1" si="56"/>
        <v/>
      </c>
      <c r="C1829" s="11" t="str">
        <f t="shared" ca="1" si="57"/>
        <v/>
      </c>
    </row>
    <row r="1830" spans="1:3" x14ac:dyDescent="0.15">
      <c r="A1830" s="79"/>
      <c r="B1830" s="77" t="str">
        <f t="shared" ca="1" si="56"/>
        <v/>
      </c>
      <c r="C1830" s="11" t="str">
        <f t="shared" ca="1" si="57"/>
        <v/>
      </c>
    </row>
    <row r="1831" spans="1:3" x14ac:dyDescent="0.15">
      <c r="A1831" s="79"/>
      <c r="B1831" s="77" t="str">
        <f t="shared" ca="1" si="56"/>
        <v/>
      </c>
      <c r="C1831" s="11" t="str">
        <f t="shared" ca="1" si="57"/>
        <v/>
      </c>
    </row>
    <row r="1832" spans="1:3" x14ac:dyDescent="0.15">
      <c r="A1832" s="79"/>
      <c r="B1832" s="77" t="str">
        <f t="shared" ca="1" si="56"/>
        <v/>
      </c>
      <c r="C1832" s="11" t="str">
        <f t="shared" ca="1" si="57"/>
        <v/>
      </c>
    </row>
    <row r="1833" spans="1:3" x14ac:dyDescent="0.15">
      <c r="A1833" s="79"/>
      <c r="B1833" s="77" t="str">
        <f t="shared" ca="1" si="56"/>
        <v/>
      </c>
      <c r="C1833" s="11" t="str">
        <f t="shared" ca="1" si="57"/>
        <v/>
      </c>
    </row>
    <row r="1834" spans="1:3" x14ac:dyDescent="0.15">
      <c r="A1834" s="79"/>
      <c r="B1834" s="77" t="str">
        <f t="shared" ca="1" si="56"/>
        <v/>
      </c>
      <c r="C1834" s="11" t="str">
        <f t="shared" ca="1" si="57"/>
        <v/>
      </c>
    </row>
    <row r="1835" spans="1:3" x14ac:dyDescent="0.15">
      <c r="A1835" s="79"/>
      <c r="B1835" s="77" t="str">
        <f t="shared" ca="1" si="56"/>
        <v/>
      </c>
      <c r="C1835" s="11" t="str">
        <f t="shared" ca="1" si="57"/>
        <v/>
      </c>
    </row>
    <row r="1836" spans="1:3" x14ac:dyDescent="0.15">
      <c r="A1836" s="79"/>
      <c r="B1836" s="77" t="str">
        <f t="shared" ca="1" si="56"/>
        <v/>
      </c>
      <c r="C1836" s="11" t="str">
        <f t="shared" ca="1" si="57"/>
        <v/>
      </c>
    </row>
    <row r="1837" spans="1:3" x14ac:dyDescent="0.15">
      <c r="A1837" s="79"/>
      <c r="B1837" s="77" t="str">
        <f t="shared" ca="1" si="56"/>
        <v/>
      </c>
      <c r="C1837" s="11" t="str">
        <f t="shared" ca="1" si="57"/>
        <v/>
      </c>
    </row>
    <row r="1838" spans="1:3" x14ac:dyDescent="0.15">
      <c r="A1838" s="79"/>
      <c r="B1838" s="77" t="str">
        <f t="shared" ca="1" si="56"/>
        <v/>
      </c>
      <c r="C1838" s="11" t="str">
        <f t="shared" ca="1" si="57"/>
        <v/>
      </c>
    </row>
    <row r="1839" spans="1:3" x14ac:dyDescent="0.15">
      <c r="A1839" s="79"/>
      <c r="B1839" s="77" t="str">
        <f t="shared" ca="1" si="56"/>
        <v/>
      </c>
      <c r="C1839" s="11" t="str">
        <f t="shared" ca="1" si="57"/>
        <v/>
      </c>
    </row>
    <row r="1840" spans="1:3" x14ac:dyDescent="0.15">
      <c r="A1840" s="79"/>
      <c r="B1840" s="77" t="str">
        <f t="shared" ca="1" si="56"/>
        <v/>
      </c>
      <c r="C1840" s="11" t="str">
        <f t="shared" ca="1" si="57"/>
        <v/>
      </c>
    </row>
    <row r="1841" spans="1:3" x14ac:dyDescent="0.15">
      <c r="A1841" s="79"/>
      <c r="B1841" s="77" t="str">
        <f t="shared" ca="1" si="56"/>
        <v/>
      </c>
      <c r="C1841" s="11" t="str">
        <f t="shared" ca="1" si="57"/>
        <v/>
      </c>
    </row>
    <row r="1842" spans="1:3" x14ac:dyDescent="0.15">
      <c r="A1842" s="79"/>
      <c r="B1842" s="77" t="str">
        <f t="shared" ca="1" si="56"/>
        <v/>
      </c>
      <c r="C1842" s="11" t="str">
        <f t="shared" ca="1" si="57"/>
        <v/>
      </c>
    </row>
    <row r="1843" spans="1:3" x14ac:dyDescent="0.15">
      <c r="A1843" s="79"/>
      <c r="B1843" s="77" t="str">
        <f t="shared" ca="1" si="56"/>
        <v/>
      </c>
      <c r="C1843" s="11" t="str">
        <f t="shared" ca="1" si="57"/>
        <v/>
      </c>
    </row>
    <row r="1844" spans="1:3" x14ac:dyDescent="0.15">
      <c r="A1844" s="79"/>
      <c r="B1844" s="77" t="str">
        <f t="shared" ca="1" si="56"/>
        <v/>
      </c>
      <c r="C1844" s="11" t="str">
        <f t="shared" ca="1" si="57"/>
        <v/>
      </c>
    </row>
    <row r="1845" spans="1:3" x14ac:dyDescent="0.15">
      <c r="A1845" s="79"/>
      <c r="B1845" s="77" t="str">
        <f t="shared" ca="1" si="56"/>
        <v/>
      </c>
      <c r="C1845" s="11" t="str">
        <f t="shared" ca="1" si="57"/>
        <v/>
      </c>
    </row>
    <row r="1846" spans="1:3" x14ac:dyDescent="0.15">
      <c r="A1846" s="79"/>
      <c r="B1846" s="77" t="str">
        <f t="shared" ca="1" si="56"/>
        <v/>
      </c>
      <c r="C1846" s="11" t="str">
        <f t="shared" ca="1" si="57"/>
        <v/>
      </c>
    </row>
    <row r="1847" spans="1:3" x14ac:dyDescent="0.15">
      <c r="A1847" s="79"/>
      <c r="B1847" s="77" t="str">
        <f t="shared" ca="1" si="56"/>
        <v/>
      </c>
      <c r="C1847" s="11" t="str">
        <f t="shared" ca="1" si="57"/>
        <v/>
      </c>
    </row>
    <row r="1848" spans="1:3" x14ac:dyDescent="0.15">
      <c r="A1848" s="79"/>
      <c r="B1848" s="77" t="str">
        <f t="shared" ca="1" si="56"/>
        <v/>
      </c>
      <c r="C1848" s="11" t="str">
        <f t="shared" ca="1" si="57"/>
        <v/>
      </c>
    </row>
    <row r="1849" spans="1:3" x14ac:dyDescent="0.15">
      <c r="A1849" s="79"/>
      <c r="B1849" s="77" t="str">
        <f t="shared" ca="1" si="56"/>
        <v/>
      </c>
      <c r="C1849" s="11" t="str">
        <f t="shared" ca="1" si="57"/>
        <v/>
      </c>
    </row>
    <row r="1850" spans="1:3" x14ac:dyDescent="0.15">
      <c r="A1850" s="79"/>
      <c r="B1850" s="77" t="str">
        <f t="shared" ca="1" si="56"/>
        <v/>
      </c>
      <c r="C1850" s="11" t="str">
        <f t="shared" ca="1" si="57"/>
        <v/>
      </c>
    </row>
    <row r="1851" spans="1:3" x14ac:dyDescent="0.15">
      <c r="A1851" s="79"/>
      <c r="B1851" s="77" t="str">
        <f t="shared" ca="1" si="56"/>
        <v/>
      </c>
      <c r="C1851" s="11" t="str">
        <f t="shared" ca="1" si="57"/>
        <v/>
      </c>
    </row>
    <row r="1852" spans="1:3" x14ac:dyDescent="0.15">
      <c r="A1852" s="79"/>
      <c r="B1852" s="77" t="str">
        <f t="shared" ca="1" si="56"/>
        <v/>
      </c>
      <c r="C1852" s="11" t="str">
        <f t="shared" ca="1" si="57"/>
        <v/>
      </c>
    </row>
    <row r="1853" spans="1:3" x14ac:dyDescent="0.15">
      <c r="A1853" s="79"/>
      <c r="B1853" s="77" t="str">
        <f t="shared" ca="1" si="56"/>
        <v/>
      </c>
      <c r="C1853" s="11" t="str">
        <f t="shared" ca="1" si="57"/>
        <v/>
      </c>
    </row>
    <row r="1854" spans="1:3" x14ac:dyDescent="0.15">
      <c r="A1854" s="79"/>
      <c r="B1854" s="77" t="str">
        <f t="shared" ca="1" si="56"/>
        <v/>
      </c>
      <c r="C1854" s="11" t="str">
        <f t="shared" ca="1" si="57"/>
        <v/>
      </c>
    </row>
    <row r="1855" spans="1:3" x14ac:dyDescent="0.15">
      <c r="A1855" s="79"/>
      <c r="B1855" s="77" t="str">
        <f t="shared" ca="1" si="56"/>
        <v/>
      </c>
      <c r="C1855" s="11" t="str">
        <f t="shared" ca="1" si="57"/>
        <v/>
      </c>
    </row>
    <row r="1856" spans="1:3" x14ac:dyDescent="0.15">
      <c r="A1856" s="79"/>
      <c r="B1856" s="77" t="str">
        <f t="shared" ca="1" si="56"/>
        <v/>
      </c>
      <c r="C1856" s="11" t="str">
        <f t="shared" ca="1" si="57"/>
        <v/>
      </c>
    </row>
    <row r="1857" spans="1:3" x14ac:dyDescent="0.15">
      <c r="A1857" s="79"/>
      <c r="B1857" s="77" t="str">
        <f t="shared" ca="1" si="56"/>
        <v/>
      </c>
      <c r="C1857" s="11" t="str">
        <f t="shared" ca="1" si="57"/>
        <v/>
      </c>
    </row>
    <row r="1858" spans="1:3" x14ac:dyDescent="0.15">
      <c r="A1858" s="79"/>
      <c r="B1858" s="77" t="str">
        <f t="shared" ref="B1858:B1921" ca="1" si="58">IFERROR(VLOOKUP(TEXT(A1858,"00000000"),analysis_table_by_barcode,15,FALSE),"")</f>
        <v/>
      </c>
      <c r="C1858" s="11" t="str">
        <f t="shared" ref="C1858:C1921" ca="1" si="59">IF($B1858&lt;&gt;"", IF(VLOOKUP(B1858, final_to_ministry_result,2,FALSE)&lt;&gt;"",VLOOKUP(B1858, final_to_ministry_result,2,FALSE),""),"")</f>
        <v/>
      </c>
    </row>
    <row r="1859" spans="1:3" x14ac:dyDescent="0.15">
      <c r="A1859" s="79"/>
      <c r="B1859" s="77" t="str">
        <f t="shared" ca="1" si="58"/>
        <v/>
      </c>
      <c r="C1859" s="11" t="str">
        <f t="shared" ca="1" si="59"/>
        <v/>
      </c>
    </row>
    <row r="1860" spans="1:3" x14ac:dyDescent="0.15">
      <c r="A1860" s="79"/>
      <c r="B1860" s="77" t="str">
        <f t="shared" ca="1" si="58"/>
        <v/>
      </c>
      <c r="C1860" s="11" t="str">
        <f t="shared" ca="1" si="59"/>
        <v/>
      </c>
    </row>
    <row r="1861" spans="1:3" x14ac:dyDescent="0.15">
      <c r="A1861" s="79"/>
      <c r="B1861" s="77" t="str">
        <f t="shared" ca="1" si="58"/>
        <v/>
      </c>
      <c r="C1861" s="11" t="str">
        <f t="shared" ca="1" si="59"/>
        <v/>
      </c>
    </row>
    <row r="1862" spans="1:3" x14ac:dyDescent="0.15">
      <c r="A1862" s="79"/>
      <c r="B1862" s="77" t="str">
        <f t="shared" ca="1" si="58"/>
        <v/>
      </c>
      <c r="C1862" s="11" t="str">
        <f t="shared" ca="1" si="59"/>
        <v/>
      </c>
    </row>
    <row r="1863" spans="1:3" x14ac:dyDescent="0.15">
      <c r="A1863" s="79"/>
      <c r="B1863" s="77" t="str">
        <f t="shared" ca="1" si="58"/>
        <v/>
      </c>
      <c r="C1863" s="11" t="str">
        <f t="shared" ca="1" si="59"/>
        <v/>
      </c>
    </row>
    <row r="1864" spans="1:3" x14ac:dyDescent="0.15">
      <c r="A1864" s="79"/>
      <c r="B1864" s="77" t="str">
        <f t="shared" ca="1" si="58"/>
        <v/>
      </c>
      <c r="C1864" s="11" t="str">
        <f t="shared" ca="1" si="59"/>
        <v/>
      </c>
    </row>
    <row r="1865" spans="1:3" x14ac:dyDescent="0.15">
      <c r="A1865" s="79"/>
      <c r="B1865" s="77" t="str">
        <f t="shared" ca="1" si="58"/>
        <v/>
      </c>
      <c r="C1865" s="11" t="str">
        <f t="shared" ca="1" si="59"/>
        <v/>
      </c>
    </row>
    <row r="1866" spans="1:3" x14ac:dyDescent="0.15">
      <c r="A1866" s="79"/>
      <c r="B1866" s="77" t="str">
        <f t="shared" ca="1" si="58"/>
        <v/>
      </c>
      <c r="C1866" s="11" t="str">
        <f t="shared" ca="1" si="59"/>
        <v/>
      </c>
    </row>
    <row r="1867" spans="1:3" x14ac:dyDescent="0.15">
      <c r="A1867" s="79"/>
      <c r="B1867" s="77" t="str">
        <f t="shared" ca="1" si="58"/>
        <v/>
      </c>
      <c r="C1867" s="11" t="str">
        <f t="shared" ca="1" si="59"/>
        <v/>
      </c>
    </row>
    <row r="1868" spans="1:3" x14ac:dyDescent="0.15">
      <c r="A1868" s="79"/>
      <c r="B1868" s="77" t="str">
        <f t="shared" ca="1" si="58"/>
        <v/>
      </c>
      <c r="C1868" s="11" t="str">
        <f t="shared" ca="1" si="59"/>
        <v/>
      </c>
    </row>
    <row r="1869" spans="1:3" x14ac:dyDescent="0.15">
      <c r="A1869" s="79"/>
      <c r="B1869" s="77" t="str">
        <f t="shared" ca="1" si="58"/>
        <v/>
      </c>
      <c r="C1869" s="11" t="str">
        <f t="shared" ca="1" si="59"/>
        <v/>
      </c>
    </row>
    <row r="1870" spans="1:3" x14ac:dyDescent="0.15">
      <c r="A1870" s="79"/>
      <c r="B1870" s="77" t="str">
        <f t="shared" ca="1" si="58"/>
        <v/>
      </c>
      <c r="C1870" s="11" t="str">
        <f t="shared" ca="1" si="59"/>
        <v/>
      </c>
    </row>
    <row r="1871" spans="1:3" x14ac:dyDescent="0.15">
      <c r="A1871" s="79"/>
      <c r="B1871" s="77" t="str">
        <f t="shared" ca="1" si="58"/>
        <v/>
      </c>
      <c r="C1871" s="11" t="str">
        <f t="shared" ca="1" si="59"/>
        <v/>
      </c>
    </row>
    <row r="1872" spans="1:3" x14ac:dyDescent="0.15">
      <c r="A1872" s="79"/>
      <c r="B1872" s="77" t="str">
        <f t="shared" ca="1" si="58"/>
        <v/>
      </c>
      <c r="C1872" s="11" t="str">
        <f t="shared" ca="1" si="59"/>
        <v/>
      </c>
    </row>
    <row r="1873" spans="1:3" x14ac:dyDescent="0.15">
      <c r="A1873" s="79"/>
      <c r="B1873" s="77" t="str">
        <f t="shared" ca="1" si="58"/>
        <v/>
      </c>
      <c r="C1873" s="11" t="str">
        <f t="shared" ca="1" si="59"/>
        <v/>
      </c>
    </row>
    <row r="1874" spans="1:3" x14ac:dyDescent="0.15">
      <c r="A1874" s="79"/>
      <c r="B1874" s="77" t="str">
        <f t="shared" ca="1" si="58"/>
        <v/>
      </c>
      <c r="C1874" s="11" t="str">
        <f t="shared" ca="1" si="59"/>
        <v/>
      </c>
    </row>
    <row r="1875" spans="1:3" x14ac:dyDescent="0.15">
      <c r="A1875" s="79"/>
      <c r="B1875" s="77" t="str">
        <f t="shared" ca="1" si="58"/>
        <v/>
      </c>
      <c r="C1875" s="11" t="str">
        <f t="shared" ca="1" si="59"/>
        <v/>
      </c>
    </row>
    <row r="1876" spans="1:3" x14ac:dyDescent="0.15">
      <c r="A1876" s="79"/>
      <c r="B1876" s="77" t="str">
        <f t="shared" ca="1" si="58"/>
        <v/>
      </c>
      <c r="C1876" s="11" t="str">
        <f t="shared" ca="1" si="59"/>
        <v/>
      </c>
    </row>
    <row r="1877" spans="1:3" x14ac:dyDescent="0.15">
      <c r="A1877" s="79"/>
      <c r="B1877" s="77" t="str">
        <f t="shared" ca="1" si="58"/>
        <v/>
      </c>
      <c r="C1877" s="11" t="str">
        <f t="shared" ca="1" si="59"/>
        <v/>
      </c>
    </row>
    <row r="1878" spans="1:3" x14ac:dyDescent="0.15">
      <c r="A1878" s="79"/>
      <c r="B1878" s="77" t="str">
        <f t="shared" ca="1" si="58"/>
        <v/>
      </c>
      <c r="C1878" s="11" t="str">
        <f t="shared" ca="1" si="59"/>
        <v/>
      </c>
    </row>
    <row r="1879" spans="1:3" x14ac:dyDescent="0.15">
      <c r="A1879" s="79"/>
      <c r="B1879" s="77" t="str">
        <f t="shared" ca="1" si="58"/>
        <v/>
      </c>
      <c r="C1879" s="11" t="str">
        <f t="shared" ca="1" si="59"/>
        <v/>
      </c>
    </row>
    <row r="1880" spans="1:3" x14ac:dyDescent="0.15">
      <c r="A1880" s="79"/>
      <c r="B1880" s="77" t="str">
        <f t="shared" ca="1" si="58"/>
        <v/>
      </c>
      <c r="C1880" s="11" t="str">
        <f t="shared" ca="1" si="59"/>
        <v/>
      </c>
    </row>
    <row r="1881" spans="1:3" x14ac:dyDescent="0.15">
      <c r="A1881" s="79"/>
      <c r="B1881" s="77" t="str">
        <f t="shared" ca="1" si="58"/>
        <v/>
      </c>
      <c r="C1881" s="11" t="str">
        <f t="shared" ca="1" si="59"/>
        <v/>
      </c>
    </row>
    <row r="1882" spans="1:3" x14ac:dyDescent="0.15">
      <c r="A1882" s="79"/>
      <c r="B1882" s="77" t="str">
        <f t="shared" ca="1" si="58"/>
        <v/>
      </c>
      <c r="C1882" s="11" t="str">
        <f t="shared" ca="1" si="59"/>
        <v/>
      </c>
    </row>
    <row r="1883" spans="1:3" x14ac:dyDescent="0.15">
      <c r="A1883" s="79"/>
      <c r="B1883" s="77" t="str">
        <f t="shared" ca="1" si="58"/>
        <v/>
      </c>
      <c r="C1883" s="11" t="str">
        <f t="shared" ca="1" si="59"/>
        <v/>
      </c>
    </row>
    <row r="1884" spans="1:3" x14ac:dyDescent="0.15">
      <c r="A1884" s="79"/>
      <c r="B1884" s="77" t="str">
        <f t="shared" ca="1" si="58"/>
        <v/>
      </c>
      <c r="C1884" s="11" t="str">
        <f t="shared" ca="1" si="59"/>
        <v/>
      </c>
    </row>
    <row r="1885" spans="1:3" x14ac:dyDescent="0.15">
      <c r="A1885" s="79"/>
      <c r="B1885" s="77" t="str">
        <f t="shared" ca="1" si="58"/>
        <v/>
      </c>
      <c r="C1885" s="11" t="str">
        <f t="shared" ca="1" si="59"/>
        <v/>
      </c>
    </row>
    <row r="1886" spans="1:3" x14ac:dyDescent="0.15">
      <c r="A1886" s="79"/>
      <c r="B1886" s="77" t="str">
        <f t="shared" ca="1" si="58"/>
        <v/>
      </c>
      <c r="C1886" s="11" t="str">
        <f t="shared" ca="1" si="59"/>
        <v/>
      </c>
    </row>
    <row r="1887" spans="1:3" x14ac:dyDescent="0.15">
      <c r="A1887" s="79"/>
      <c r="B1887" s="77" t="str">
        <f t="shared" ca="1" si="58"/>
        <v/>
      </c>
      <c r="C1887" s="11" t="str">
        <f t="shared" ca="1" si="59"/>
        <v/>
      </c>
    </row>
    <row r="1888" spans="1:3" x14ac:dyDescent="0.15">
      <c r="A1888" s="79"/>
      <c r="B1888" s="77" t="str">
        <f t="shared" ca="1" si="58"/>
        <v/>
      </c>
      <c r="C1888" s="11" t="str">
        <f t="shared" ca="1" si="59"/>
        <v/>
      </c>
    </row>
    <row r="1889" spans="1:3" x14ac:dyDescent="0.15">
      <c r="A1889" s="79"/>
      <c r="B1889" s="77" t="str">
        <f t="shared" ca="1" si="58"/>
        <v/>
      </c>
      <c r="C1889" s="11" t="str">
        <f t="shared" ca="1" si="59"/>
        <v/>
      </c>
    </row>
    <row r="1890" spans="1:3" x14ac:dyDescent="0.15">
      <c r="A1890" s="79"/>
      <c r="B1890" s="77" t="str">
        <f t="shared" ca="1" si="58"/>
        <v/>
      </c>
      <c r="C1890" s="11" t="str">
        <f t="shared" ca="1" si="59"/>
        <v/>
      </c>
    </row>
    <row r="1891" spans="1:3" x14ac:dyDescent="0.15">
      <c r="A1891" s="79"/>
      <c r="B1891" s="77" t="str">
        <f t="shared" ca="1" si="58"/>
        <v/>
      </c>
      <c r="C1891" s="11" t="str">
        <f t="shared" ca="1" si="59"/>
        <v/>
      </c>
    </row>
    <row r="1892" spans="1:3" x14ac:dyDescent="0.15">
      <c r="A1892" s="79"/>
      <c r="B1892" s="77" t="str">
        <f t="shared" ca="1" si="58"/>
        <v/>
      </c>
      <c r="C1892" s="11" t="str">
        <f t="shared" ca="1" si="59"/>
        <v/>
      </c>
    </row>
    <row r="1893" spans="1:3" x14ac:dyDescent="0.15">
      <c r="A1893" s="79"/>
      <c r="B1893" s="77" t="str">
        <f t="shared" ca="1" si="58"/>
        <v/>
      </c>
      <c r="C1893" s="11" t="str">
        <f t="shared" ca="1" si="59"/>
        <v/>
      </c>
    </row>
    <row r="1894" spans="1:3" x14ac:dyDescent="0.15">
      <c r="A1894" s="79"/>
      <c r="B1894" s="77" t="str">
        <f t="shared" ca="1" si="58"/>
        <v/>
      </c>
      <c r="C1894" s="11" t="str">
        <f t="shared" ca="1" si="59"/>
        <v/>
      </c>
    </row>
    <row r="1895" spans="1:3" x14ac:dyDescent="0.15">
      <c r="A1895" s="79"/>
      <c r="B1895" s="77" t="str">
        <f t="shared" ca="1" si="58"/>
        <v/>
      </c>
      <c r="C1895" s="11" t="str">
        <f t="shared" ca="1" si="59"/>
        <v/>
      </c>
    </row>
    <row r="1896" spans="1:3" x14ac:dyDescent="0.15">
      <c r="A1896" s="79"/>
      <c r="B1896" s="77" t="str">
        <f t="shared" ca="1" si="58"/>
        <v/>
      </c>
      <c r="C1896" s="11" t="str">
        <f t="shared" ca="1" si="59"/>
        <v/>
      </c>
    </row>
    <row r="1897" spans="1:3" x14ac:dyDescent="0.15">
      <c r="A1897" s="79"/>
      <c r="B1897" s="77" t="str">
        <f t="shared" ca="1" si="58"/>
        <v/>
      </c>
      <c r="C1897" s="11" t="str">
        <f t="shared" ca="1" si="59"/>
        <v/>
      </c>
    </row>
    <row r="1898" spans="1:3" x14ac:dyDescent="0.15">
      <c r="A1898" s="79"/>
      <c r="B1898" s="77" t="str">
        <f t="shared" ca="1" si="58"/>
        <v/>
      </c>
      <c r="C1898" s="11" t="str">
        <f t="shared" ca="1" si="59"/>
        <v/>
      </c>
    </row>
    <row r="1899" spans="1:3" x14ac:dyDescent="0.15">
      <c r="A1899" s="79"/>
      <c r="B1899" s="77" t="str">
        <f t="shared" ca="1" si="58"/>
        <v/>
      </c>
      <c r="C1899" s="11" t="str">
        <f t="shared" ca="1" si="59"/>
        <v/>
      </c>
    </row>
    <row r="1900" spans="1:3" x14ac:dyDescent="0.15">
      <c r="A1900" s="79"/>
      <c r="B1900" s="77" t="str">
        <f t="shared" ca="1" si="58"/>
        <v/>
      </c>
      <c r="C1900" s="11" t="str">
        <f t="shared" ca="1" si="59"/>
        <v/>
      </c>
    </row>
    <row r="1901" spans="1:3" x14ac:dyDescent="0.15">
      <c r="A1901" s="79"/>
      <c r="B1901" s="77" t="str">
        <f t="shared" ca="1" si="58"/>
        <v/>
      </c>
      <c r="C1901" s="11" t="str">
        <f t="shared" ca="1" si="59"/>
        <v/>
      </c>
    </row>
    <row r="1902" spans="1:3" x14ac:dyDescent="0.15">
      <c r="A1902" s="79"/>
      <c r="B1902" s="77" t="str">
        <f t="shared" ca="1" si="58"/>
        <v/>
      </c>
      <c r="C1902" s="11" t="str">
        <f t="shared" ca="1" si="59"/>
        <v/>
      </c>
    </row>
    <row r="1903" spans="1:3" x14ac:dyDescent="0.15">
      <c r="A1903" s="79"/>
      <c r="B1903" s="77" t="str">
        <f t="shared" ca="1" si="58"/>
        <v/>
      </c>
      <c r="C1903" s="11" t="str">
        <f t="shared" ca="1" si="59"/>
        <v/>
      </c>
    </row>
    <row r="1904" spans="1:3" x14ac:dyDescent="0.15">
      <c r="A1904" s="79"/>
      <c r="B1904" s="77" t="str">
        <f t="shared" ca="1" si="58"/>
        <v/>
      </c>
      <c r="C1904" s="11" t="str">
        <f t="shared" ca="1" si="59"/>
        <v/>
      </c>
    </row>
    <row r="1905" spans="1:3" x14ac:dyDescent="0.15">
      <c r="A1905" s="79"/>
      <c r="B1905" s="77" t="str">
        <f t="shared" ca="1" si="58"/>
        <v/>
      </c>
      <c r="C1905" s="11" t="str">
        <f t="shared" ca="1" si="59"/>
        <v/>
      </c>
    </row>
    <row r="1906" spans="1:3" x14ac:dyDescent="0.15">
      <c r="A1906" s="79"/>
      <c r="B1906" s="77" t="str">
        <f t="shared" ca="1" si="58"/>
        <v/>
      </c>
      <c r="C1906" s="11" t="str">
        <f t="shared" ca="1" si="59"/>
        <v/>
      </c>
    </row>
    <row r="1907" spans="1:3" x14ac:dyDescent="0.15">
      <c r="A1907" s="79"/>
      <c r="B1907" s="77" t="str">
        <f t="shared" ca="1" si="58"/>
        <v/>
      </c>
      <c r="C1907" s="11" t="str">
        <f t="shared" ca="1" si="59"/>
        <v/>
      </c>
    </row>
    <row r="1908" spans="1:3" x14ac:dyDescent="0.15">
      <c r="A1908" s="79"/>
      <c r="B1908" s="77" t="str">
        <f t="shared" ca="1" si="58"/>
        <v/>
      </c>
      <c r="C1908" s="11" t="str">
        <f t="shared" ca="1" si="59"/>
        <v/>
      </c>
    </row>
    <row r="1909" spans="1:3" x14ac:dyDescent="0.15">
      <c r="A1909" s="79"/>
      <c r="B1909" s="77" t="str">
        <f t="shared" ca="1" si="58"/>
        <v/>
      </c>
      <c r="C1909" s="11" t="str">
        <f t="shared" ca="1" si="59"/>
        <v/>
      </c>
    </row>
    <row r="1910" spans="1:3" x14ac:dyDescent="0.15">
      <c r="A1910" s="79"/>
      <c r="B1910" s="77" t="str">
        <f t="shared" ca="1" si="58"/>
        <v/>
      </c>
      <c r="C1910" s="11" t="str">
        <f t="shared" ca="1" si="59"/>
        <v/>
      </c>
    </row>
    <row r="1911" spans="1:3" x14ac:dyDescent="0.15">
      <c r="A1911" s="79"/>
      <c r="B1911" s="77" t="str">
        <f t="shared" ca="1" si="58"/>
        <v/>
      </c>
      <c r="C1911" s="11" t="str">
        <f t="shared" ca="1" si="59"/>
        <v/>
      </c>
    </row>
    <row r="1912" spans="1:3" x14ac:dyDescent="0.15">
      <c r="A1912" s="79"/>
      <c r="B1912" s="77" t="str">
        <f t="shared" ca="1" si="58"/>
        <v/>
      </c>
      <c r="C1912" s="11" t="str">
        <f t="shared" ca="1" si="59"/>
        <v/>
      </c>
    </row>
    <row r="1913" spans="1:3" x14ac:dyDescent="0.15">
      <c r="A1913" s="79"/>
      <c r="B1913" s="77" t="str">
        <f t="shared" ca="1" si="58"/>
        <v/>
      </c>
      <c r="C1913" s="11" t="str">
        <f t="shared" ca="1" si="59"/>
        <v/>
      </c>
    </row>
    <row r="1914" spans="1:3" x14ac:dyDescent="0.15">
      <c r="A1914" s="79"/>
      <c r="B1914" s="77" t="str">
        <f t="shared" ca="1" si="58"/>
        <v/>
      </c>
      <c r="C1914" s="11" t="str">
        <f t="shared" ca="1" si="59"/>
        <v/>
      </c>
    </row>
    <row r="1915" spans="1:3" x14ac:dyDescent="0.15">
      <c r="A1915" s="79"/>
      <c r="B1915" s="77" t="str">
        <f t="shared" ca="1" si="58"/>
        <v/>
      </c>
      <c r="C1915" s="11" t="str">
        <f t="shared" ca="1" si="59"/>
        <v/>
      </c>
    </row>
    <row r="1916" spans="1:3" x14ac:dyDescent="0.15">
      <c r="A1916" s="79"/>
      <c r="B1916" s="77" t="str">
        <f t="shared" ca="1" si="58"/>
        <v/>
      </c>
      <c r="C1916" s="11" t="str">
        <f t="shared" ca="1" si="59"/>
        <v/>
      </c>
    </row>
    <row r="1917" spans="1:3" x14ac:dyDescent="0.15">
      <c r="A1917" s="79"/>
      <c r="B1917" s="77" t="str">
        <f t="shared" ca="1" si="58"/>
        <v/>
      </c>
      <c r="C1917" s="11" t="str">
        <f t="shared" ca="1" si="59"/>
        <v/>
      </c>
    </row>
    <row r="1918" spans="1:3" x14ac:dyDescent="0.15">
      <c r="A1918" s="79"/>
      <c r="B1918" s="77" t="str">
        <f t="shared" ca="1" si="58"/>
        <v/>
      </c>
      <c r="C1918" s="11" t="str">
        <f t="shared" ca="1" si="59"/>
        <v/>
      </c>
    </row>
    <row r="1919" spans="1:3" x14ac:dyDescent="0.15">
      <c r="A1919" s="79"/>
      <c r="B1919" s="77" t="str">
        <f t="shared" ca="1" si="58"/>
        <v/>
      </c>
      <c r="C1919" s="11" t="str">
        <f t="shared" ca="1" si="59"/>
        <v/>
      </c>
    </row>
    <row r="1920" spans="1:3" x14ac:dyDescent="0.15">
      <c r="A1920" s="79"/>
      <c r="B1920" s="77" t="str">
        <f t="shared" ca="1" si="58"/>
        <v/>
      </c>
      <c r="C1920" s="11" t="str">
        <f t="shared" ca="1" si="59"/>
        <v/>
      </c>
    </row>
    <row r="1921" spans="1:3" x14ac:dyDescent="0.15">
      <c r="A1921" s="79"/>
      <c r="B1921" s="77" t="str">
        <f t="shared" ca="1" si="58"/>
        <v/>
      </c>
      <c r="C1921" s="11" t="str">
        <f t="shared" ca="1" si="59"/>
        <v/>
      </c>
    </row>
    <row r="1922" spans="1:3" x14ac:dyDescent="0.15">
      <c r="A1922" s="79"/>
      <c r="B1922" s="77" t="str">
        <f t="shared" ref="B1922:B1985" ca="1" si="60">IFERROR(VLOOKUP(TEXT(A1922,"00000000"),analysis_table_by_barcode,15,FALSE),"")</f>
        <v/>
      </c>
      <c r="C1922" s="11" t="str">
        <f t="shared" ref="C1922:C1985" ca="1" si="61">IF($B1922&lt;&gt;"", IF(VLOOKUP(B1922, final_to_ministry_result,2,FALSE)&lt;&gt;"",VLOOKUP(B1922, final_to_ministry_result,2,FALSE),""),"")</f>
        <v/>
      </c>
    </row>
    <row r="1923" spans="1:3" x14ac:dyDescent="0.15">
      <c r="A1923" s="79"/>
      <c r="B1923" s="77" t="str">
        <f t="shared" ca="1" si="60"/>
        <v/>
      </c>
      <c r="C1923" s="11" t="str">
        <f t="shared" ca="1" si="61"/>
        <v/>
      </c>
    </row>
    <row r="1924" spans="1:3" x14ac:dyDescent="0.15">
      <c r="A1924" s="79"/>
      <c r="B1924" s="77" t="str">
        <f t="shared" ca="1" si="60"/>
        <v/>
      </c>
      <c r="C1924" s="11" t="str">
        <f t="shared" ca="1" si="61"/>
        <v/>
      </c>
    </row>
    <row r="1925" spans="1:3" x14ac:dyDescent="0.15">
      <c r="A1925" s="79"/>
      <c r="B1925" s="77" t="str">
        <f t="shared" ca="1" si="60"/>
        <v/>
      </c>
      <c r="C1925" s="11" t="str">
        <f t="shared" ca="1" si="61"/>
        <v/>
      </c>
    </row>
    <row r="1926" spans="1:3" x14ac:dyDescent="0.15">
      <c r="A1926" s="79"/>
      <c r="B1926" s="77" t="str">
        <f t="shared" ca="1" si="60"/>
        <v/>
      </c>
      <c r="C1926" s="11" t="str">
        <f t="shared" ca="1" si="61"/>
        <v/>
      </c>
    </row>
    <row r="1927" spans="1:3" x14ac:dyDescent="0.15">
      <c r="A1927" s="79"/>
      <c r="B1927" s="77" t="str">
        <f t="shared" ca="1" si="60"/>
        <v/>
      </c>
      <c r="C1927" s="11" t="str">
        <f t="shared" ca="1" si="61"/>
        <v/>
      </c>
    </row>
    <row r="1928" spans="1:3" x14ac:dyDescent="0.15">
      <c r="A1928" s="79"/>
      <c r="B1928" s="77" t="str">
        <f t="shared" ca="1" si="60"/>
        <v/>
      </c>
      <c r="C1928" s="11" t="str">
        <f t="shared" ca="1" si="61"/>
        <v/>
      </c>
    </row>
    <row r="1929" spans="1:3" x14ac:dyDescent="0.15">
      <c r="A1929" s="79"/>
      <c r="B1929" s="77" t="str">
        <f t="shared" ca="1" si="60"/>
        <v/>
      </c>
      <c r="C1929" s="11" t="str">
        <f t="shared" ca="1" si="61"/>
        <v/>
      </c>
    </row>
    <row r="1930" spans="1:3" x14ac:dyDescent="0.15">
      <c r="A1930" s="79"/>
      <c r="B1930" s="77" t="str">
        <f t="shared" ca="1" si="60"/>
        <v/>
      </c>
      <c r="C1930" s="11" t="str">
        <f t="shared" ca="1" si="61"/>
        <v/>
      </c>
    </row>
    <row r="1931" spans="1:3" x14ac:dyDescent="0.15">
      <c r="A1931" s="79"/>
      <c r="B1931" s="77" t="str">
        <f t="shared" ca="1" si="60"/>
        <v/>
      </c>
      <c r="C1931" s="11" t="str">
        <f t="shared" ca="1" si="61"/>
        <v/>
      </c>
    </row>
    <row r="1932" spans="1:3" x14ac:dyDescent="0.15">
      <c r="A1932" s="79"/>
      <c r="B1932" s="77" t="str">
        <f t="shared" ca="1" si="60"/>
        <v/>
      </c>
      <c r="C1932" s="11" t="str">
        <f t="shared" ca="1" si="61"/>
        <v/>
      </c>
    </row>
    <row r="1933" spans="1:3" x14ac:dyDescent="0.15">
      <c r="A1933" s="79"/>
      <c r="B1933" s="77" t="str">
        <f t="shared" ca="1" si="60"/>
        <v/>
      </c>
      <c r="C1933" s="11" t="str">
        <f t="shared" ca="1" si="61"/>
        <v/>
      </c>
    </row>
    <row r="1934" spans="1:3" x14ac:dyDescent="0.15">
      <c r="A1934" s="79"/>
      <c r="B1934" s="77" t="str">
        <f t="shared" ca="1" si="60"/>
        <v/>
      </c>
      <c r="C1934" s="11" t="str">
        <f t="shared" ca="1" si="61"/>
        <v/>
      </c>
    </row>
    <row r="1935" spans="1:3" x14ac:dyDescent="0.15">
      <c r="A1935" s="79"/>
      <c r="B1935" s="77" t="str">
        <f t="shared" ca="1" si="60"/>
        <v/>
      </c>
      <c r="C1935" s="11" t="str">
        <f t="shared" ca="1" si="61"/>
        <v/>
      </c>
    </row>
    <row r="1936" spans="1:3" x14ac:dyDescent="0.15">
      <c r="A1936" s="79"/>
      <c r="B1936" s="77" t="str">
        <f t="shared" ca="1" si="60"/>
        <v/>
      </c>
      <c r="C1936" s="11" t="str">
        <f t="shared" ca="1" si="61"/>
        <v/>
      </c>
    </row>
    <row r="1937" spans="1:3" x14ac:dyDescent="0.15">
      <c r="A1937" s="79"/>
      <c r="B1937" s="77" t="str">
        <f t="shared" ca="1" si="60"/>
        <v/>
      </c>
      <c r="C1937" s="11" t="str">
        <f t="shared" ca="1" si="61"/>
        <v/>
      </c>
    </row>
    <row r="1938" spans="1:3" x14ac:dyDescent="0.15">
      <c r="A1938" s="79"/>
      <c r="B1938" s="77" t="str">
        <f t="shared" ca="1" si="60"/>
        <v/>
      </c>
      <c r="C1938" s="11" t="str">
        <f t="shared" ca="1" si="61"/>
        <v/>
      </c>
    </row>
    <row r="1939" spans="1:3" x14ac:dyDescent="0.15">
      <c r="A1939" s="79"/>
      <c r="B1939" s="77" t="str">
        <f t="shared" ca="1" si="60"/>
        <v/>
      </c>
      <c r="C1939" s="11" t="str">
        <f t="shared" ca="1" si="61"/>
        <v/>
      </c>
    </row>
    <row r="1940" spans="1:3" x14ac:dyDescent="0.15">
      <c r="A1940" s="79"/>
      <c r="B1940" s="77" t="str">
        <f t="shared" ca="1" si="60"/>
        <v/>
      </c>
      <c r="C1940" s="11" t="str">
        <f t="shared" ca="1" si="61"/>
        <v/>
      </c>
    </row>
    <row r="1941" spans="1:3" x14ac:dyDescent="0.15">
      <c r="A1941" s="79"/>
      <c r="B1941" s="77" t="str">
        <f t="shared" ca="1" si="60"/>
        <v/>
      </c>
      <c r="C1941" s="11" t="str">
        <f t="shared" ca="1" si="61"/>
        <v/>
      </c>
    </row>
    <row r="1942" spans="1:3" x14ac:dyDescent="0.15">
      <c r="A1942" s="79"/>
      <c r="B1942" s="77" t="str">
        <f t="shared" ca="1" si="60"/>
        <v/>
      </c>
      <c r="C1942" s="11" t="str">
        <f t="shared" ca="1" si="61"/>
        <v/>
      </c>
    </row>
    <row r="1943" spans="1:3" x14ac:dyDescent="0.15">
      <c r="A1943" s="79"/>
      <c r="B1943" s="77" t="str">
        <f t="shared" ca="1" si="60"/>
        <v/>
      </c>
      <c r="C1943" s="11" t="str">
        <f t="shared" ca="1" si="61"/>
        <v/>
      </c>
    </row>
    <row r="1944" spans="1:3" x14ac:dyDescent="0.15">
      <c r="A1944" s="79"/>
      <c r="B1944" s="77" t="str">
        <f t="shared" ca="1" si="60"/>
        <v/>
      </c>
      <c r="C1944" s="11" t="str">
        <f t="shared" ca="1" si="61"/>
        <v/>
      </c>
    </row>
    <row r="1945" spans="1:3" x14ac:dyDescent="0.15">
      <c r="A1945" s="79"/>
      <c r="B1945" s="77" t="str">
        <f t="shared" ca="1" si="60"/>
        <v/>
      </c>
      <c r="C1945" s="11" t="str">
        <f t="shared" ca="1" si="61"/>
        <v/>
      </c>
    </row>
    <row r="1946" spans="1:3" x14ac:dyDescent="0.15">
      <c r="A1946" s="79"/>
      <c r="B1946" s="77" t="str">
        <f t="shared" ca="1" si="60"/>
        <v/>
      </c>
      <c r="C1946" s="11" t="str">
        <f t="shared" ca="1" si="61"/>
        <v/>
      </c>
    </row>
    <row r="1947" spans="1:3" x14ac:dyDescent="0.15">
      <c r="A1947" s="79"/>
      <c r="B1947" s="77" t="str">
        <f t="shared" ca="1" si="60"/>
        <v/>
      </c>
      <c r="C1947" s="11" t="str">
        <f t="shared" ca="1" si="61"/>
        <v/>
      </c>
    </row>
    <row r="1948" spans="1:3" x14ac:dyDescent="0.15">
      <c r="A1948" s="79"/>
      <c r="B1948" s="77" t="str">
        <f t="shared" ca="1" si="60"/>
        <v/>
      </c>
      <c r="C1948" s="11" t="str">
        <f t="shared" ca="1" si="61"/>
        <v/>
      </c>
    </row>
    <row r="1949" spans="1:3" x14ac:dyDescent="0.15">
      <c r="A1949" s="79"/>
      <c r="B1949" s="77" t="str">
        <f t="shared" ca="1" si="60"/>
        <v/>
      </c>
      <c r="C1949" s="11" t="str">
        <f t="shared" ca="1" si="61"/>
        <v/>
      </c>
    </row>
    <row r="1950" spans="1:3" x14ac:dyDescent="0.15">
      <c r="A1950" s="79"/>
      <c r="B1950" s="77" t="str">
        <f t="shared" ca="1" si="60"/>
        <v/>
      </c>
      <c r="C1950" s="11" t="str">
        <f t="shared" ca="1" si="61"/>
        <v/>
      </c>
    </row>
    <row r="1951" spans="1:3" x14ac:dyDescent="0.15">
      <c r="A1951" s="79"/>
      <c r="B1951" s="77" t="str">
        <f t="shared" ca="1" si="60"/>
        <v/>
      </c>
      <c r="C1951" s="11" t="str">
        <f t="shared" ca="1" si="61"/>
        <v/>
      </c>
    </row>
    <row r="1952" spans="1:3" x14ac:dyDescent="0.15">
      <c r="A1952" s="79"/>
      <c r="B1952" s="77" t="str">
        <f t="shared" ca="1" si="60"/>
        <v/>
      </c>
      <c r="C1952" s="11" t="str">
        <f t="shared" ca="1" si="61"/>
        <v/>
      </c>
    </row>
    <row r="1953" spans="1:3" x14ac:dyDescent="0.15">
      <c r="A1953" s="79"/>
      <c r="B1953" s="77" t="str">
        <f t="shared" ca="1" si="60"/>
        <v/>
      </c>
      <c r="C1953" s="11" t="str">
        <f t="shared" ca="1" si="61"/>
        <v/>
      </c>
    </row>
    <row r="1954" spans="1:3" x14ac:dyDescent="0.15">
      <c r="A1954" s="79"/>
      <c r="B1954" s="77" t="str">
        <f t="shared" ca="1" si="60"/>
        <v/>
      </c>
      <c r="C1954" s="11" t="str">
        <f t="shared" ca="1" si="61"/>
        <v/>
      </c>
    </row>
    <row r="1955" spans="1:3" x14ac:dyDescent="0.15">
      <c r="A1955" s="79"/>
      <c r="B1955" s="77" t="str">
        <f t="shared" ca="1" si="60"/>
        <v/>
      </c>
      <c r="C1955" s="11" t="str">
        <f t="shared" ca="1" si="61"/>
        <v/>
      </c>
    </row>
    <row r="1956" spans="1:3" x14ac:dyDescent="0.15">
      <c r="A1956" s="79"/>
      <c r="B1956" s="77" t="str">
        <f t="shared" ca="1" si="60"/>
        <v/>
      </c>
      <c r="C1956" s="11" t="str">
        <f t="shared" ca="1" si="61"/>
        <v/>
      </c>
    </row>
    <row r="1957" spans="1:3" x14ac:dyDescent="0.15">
      <c r="A1957" s="79"/>
      <c r="B1957" s="77" t="str">
        <f t="shared" ca="1" si="60"/>
        <v/>
      </c>
      <c r="C1957" s="11" t="str">
        <f t="shared" ca="1" si="61"/>
        <v/>
      </c>
    </row>
    <row r="1958" spans="1:3" x14ac:dyDescent="0.15">
      <c r="A1958" s="79"/>
      <c r="B1958" s="77" t="str">
        <f t="shared" ca="1" si="60"/>
        <v/>
      </c>
      <c r="C1958" s="11" t="str">
        <f t="shared" ca="1" si="61"/>
        <v/>
      </c>
    </row>
    <row r="1959" spans="1:3" x14ac:dyDescent="0.15">
      <c r="A1959" s="79"/>
      <c r="B1959" s="77" t="str">
        <f t="shared" ca="1" si="60"/>
        <v/>
      </c>
      <c r="C1959" s="11" t="str">
        <f t="shared" ca="1" si="61"/>
        <v/>
      </c>
    </row>
    <row r="1960" spans="1:3" x14ac:dyDescent="0.15">
      <c r="A1960" s="79"/>
      <c r="B1960" s="77" t="str">
        <f t="shared" ca="1" si="60"/>
        <v/>
      </c>
      <c r="C1960" s="11" t="str">
        <f t="shared" ca="1" si="61"/>
        <v/>
      </c>
    </row>
    <row r="1961" spans="1:3" x14ac:dyDescent="0.15">
      <c r="A1961" s="79"/>
      <c r="B1961" s="77" t="str">
        <f t="shared" ca="1" si="60"/>
        <v/>
      </c>
      <c r="C1961" s="11" t="str">
        <f t="shared" ca="1" si="61"/>
        <v/>
      </c>
    </row>
    <row r="1962" spans="1:3" x14ac:dyDescent="0.15">
      <c r="A1962" s="79"/>
      <c r="B1962" s="77" t="str">
        <f t="shared" ca="1" si="60"/>
        <v/>
      </c>
      <c r="C1962" s="11" t="str">
        <f t="shared" ca="1" si="61"/>
        <v/>
      </c>
    </row>
    <row r="1963" spans="1:3" x14ac:dyDescent="0.15">
      <c r="A1963" s="79"/>
      <c r="B1963" s="77" t="str">
        <f t="shared" ca="1" si="60"/>
        <v/>
      </c>
      <c r="C1963" s="11" t="str">
        <f t="shared" ca="1" si="61"/>
        <v/>
      </c>
    </row>
    <row r="1964" spans="1:3" x14ac:dyDescent="0.15">
      <c r="A1964" s="79"/>
      <c r="B1964" s="77" t="str">
        <f t="shared" ca="1" si="60"/>
        <v/>
      </c>
      <c r="C1964" s="11" t="str">
        <f t="shared" ca="1" si="61"/>
        <v/>
      </c>
    </row>
    <row r="1965" spans="1:3" x14ac:dyDescent="0.15">
      <c r="A1965" s="79"/>
      <c r="B1965" s="77" t="str">
        <f t="shared" ca="1" si="60"/>
        <v/>
      </c>
      <c r="C1965" s="11" t="str">
        <f t="shared" ca="1" si="61"/>
        <v/>
      </c>
    </row>
    <row r="1966" spans="1:3" x14ac:dyDescent="0.15">
      <c r="A1966" s="79"/>
      <c r="B1966" s="77" t="str">
        <f t="shared" ca="1" si="60"/>
        <v/>
      </c>
      <c r="C1966" s="11" t="str">
        <f t="shared" ca="1" si="61"/>
        <v/>
      </c>
    </row>
    <row r="1967" spans="1:3" x14ac:dyDescent="0.15">
      <c r="A1967" s="79"/>
      <c r="B1967" s="77" t="str">
        <f t="shared" ca="1" si="60"/>
        <v/>
      </c>
      <c r="C1967" s="11" t="str">
        <f t="shared" ca="1" si="61"/>
        <v/>
      </c>
    </row>
    <row r="1968" spans="1:3" x14ac:dyDescent="0.15">
      <c r="A1968" s="79"/>
      <c r="B1968" s="77" t="str">
        <f t="shared" ca="1" si="60"/>
        <v/>
      </c>
      <c r="C1968" s="11" t="str">
        <f t="shared" ca="1" si="61"/>
        <v/>
      </c>
    </row>
    <row r="1969" spans="1:3" x14ac:dyDescent="0.15">
      <c r="A1969" s="79"/>
      <c r="B1969" s="77" t="str">
        <f t="shared" ca="1" si="60"/>
        <v/>
      </c>
      <c r="C1969" s="11" t="str">
        <f t="shared" ca="1" si="61"/>
        <v/>
      </c>
    </row>
    <row r="1970" spans="1:3" x14ac:dyDescent="0.15">
      <c r="A1970" s="79"/>
      <c r="B1970" s="77" t="str">
        <f t="shared" ca="1" si="60"/>
        <v/>
      </c>
      <c r="C1970" s="11" t="str">
        <f t="shared" ca="1" si="61"/>
        <v/>
      </c>
    </row>
    <row r="1971" spans="1:3" x14ac:dyDescent="0.15">
      <c r="A1971" s="79"/>
      <c r="B1971" s="77" t="str">
        <f t="shared" ca="1" si="60"/>
        <v/>
      </c>
      <c r="C1971" s="11" t="str">
        <f t="shared" ca="1" si="61"/>
        <v/>
      </c>
    </row>
    <row r="1972" spans="1:3" x14ac:dyDescent="0.15">
      <c r="A1972" s="79"/>
      <c r="B1972" s="77" t="str">
        <f t="shared" ca="1" si="60"/>
        <v/>
      </c>
      <c r="C1972" s="11" t="str">
        <f t="shared" ca="1" si="61"/>
        <v/>
      </c>
    </row>
    <row r="1973" spans="1:3" x14ac:dyDescent="0.15">
      <c r="A1973" s="79"/>
      <c r="B1973" s="77" t="str">
        <f t="shared" ca="1" si="60"/>
        <v/>
      </c>
      <c r="C1973" s="11" t="str">
        <f t="shared" ca="1" si="61"/>
        <v/>
      </c>
    </row>
    <row r="1974" spans="1:3" x14ac:dyDescent="0.15">
      <c r="A1974" s="79"/>
      <c r="B1974" s="77" t="str">
        <f t="shared" ca="1" si="60"/>
        <v/>
      </c>
      <c r="C1974" s="11" t="str">
        <f t="shared" ca="1" si="61"/>
        <v/>
      </c>
    </row>
    <row r="1975" spans="1:3" x14ac:dyDescent="0.15">
      <c r="A1975" s="79"/>
      <c r="B1975" s="77" t="str">
        <f t="shared" ca="1" si="60"/>
        <v/>
      </c>
      <c r="C1975" s="11" t="str">
        <f t="shared" ca="1" si="61"/>
        <v/>
      </c>
    </row>
    <row r="1976" spans="1:3" x14ac:dyDescent="0.15">
      <c r="A1976" s="79"/>
      <c r="B1976" s="77" t="str">
        <f t="shared" ca="1" si="60"/>
        <v/>
      </c>
      <c r="C1976" s="11" t="str">
        <f t="shared" ca="1" si="61"/>
        <v/>
      </c>
    </row>
    <row r="1977" spans="1:3" x14ac:dyDescent="0.15">
      <c r="A1977" s="79"/>
      <c r="B1977" s="77" t="str">
        <f t="shared" ca="1" si="60"/>
        <v/>
      </c>
      <c r="C1977" s="11" t="str">
        <f t="shared" ca="1" si="61"/>
        <v/>
      </c>
    </row>
    <row r="1978" spans="1:3" x14ac:dyDescent="0.15">
      <c r="A1978" s="79"/>
      <c r="B1978" s="77" t="str">
        <f t="shared" ca="1" si="60"/>
        <v/>
      </c>
      <c r="C1978" s="11" t="str">
        <f t="shared" ca="1" si="61"/>
        <v/>
      </c>
    </row>
    <row r="1979" spans="1:3" x14ac:dyDescent="0.15">
      <c r="A1979" s="79"/>
      <c r="B1979" s="77" t="str">
        <f t="shared" ca="1" si="60"/>
        <v/>
      </c>
      <c r="C1979" s="11" t="str">
        <f t="shared" ca="1" si="61"/>
        <v/>
      </c>
    </row>
    <row r="1980" spans="1:3" x14ac:dyDescent="0.15">
      <c r="A1980" s="79"/>
      <c r="B1980" s="77" t="str">
        <f t="shared" ca="1" si="60"/>
        <v/>
      </c>
      <c r="C1980" s="11" t="str">
        <f t="shared" ca="1" si="61"/>
        <v/>
      </c>
    </row>
    <row r="1981" spans="1:3" x14ac:dyDescent="0.15">
      <c r="A1981" s="79"/>
      <c r="B1981" s="77" t="str">
        <f t="shared" ca="1" si="60"/>
        <v/>
      </c>
      <c r="C1981" s="11" t="str">
        <f t="shared" ca="1" si="61"/>
        <v/>
      </c>
    </row>
    <row r="1982" spans="1:3" x14ac:dyDescent="0.15">
      <c r="A1982" s="79"/>
      <c r="B1982" s="77" t="str">
        <f t="shared" ca="1" si="60"/>
        <v/>
      </c>
      <c r="C1982" s="11" t="str">
        <f t="shared" ca="1" si="61"/>
        <v/>
      </c>
    </row>
    <row r="1983" spans="1:3" x14ac:dyDescent="0.15">
      <c r="A1983" s="79"/>
      <c r="B1983" s="77" t="str">
        <f t="shared" ca="1" si="60"/>
        <v/>
      </c>
      <c r="C1983" s="11" t="str">
        <f t="shared" ca="1" si="61"/>
        <v/>
      </c>
    </row>
    <row r="1984" spans="1:3" x14ac:dyDescent="0.15">
      <c r="A1984" s="79"/>
      <c r="B1984" s="77" t="str">
        <f t="shared" ca="1" si="60"/>
        <v/>
      </c>
      <c r="C1984" s="11" t="str">
        <f t="shared" ca="1" si="61"/>
        <v/>
      </c>
    </row>
    <row r="1985" spans="1:3" x14ac:dyDescent="0.15">
      <c r="A1985" s="79"/>
      <c r="B1985" s="77" t="str">
        <f t="shared" ca="1" si="60"/>
        <v/>
      </c>
      <c r="C1985" s="11" t="str">
        <f t="shared" ca="1" si="61"/>
        <v/>
      </c>
    </row>
    <row r="1986" spans="1:3" x14ac:dyDescent="0.15">
      <c r="A1986" s="79"/>
      <c r="B1986" s="77" t="str">
        <f t="shared" ref="B1986:B2049" ca="1" si="62">IFERROR(VLOOKUP(TEXT(A1986,"00000000"),analysis_table_by_barcode,15,FALSE),"")</f>
        <v/>
      </c>
      <c r="C1986" s="11" t="str">
        <f t="shared" ref="C1986:C2049" ca="1" si="63">IF($B1986&lt;&gt;"", IF(VLOOKUP(B1986, final_to_ministry_result,2,FALSE)&lt;&gt;"",VLOOKUP(B1986, final_to_ministry_result,2,FALSE),""),"")</f>
        <v/>
      </c>
    </row>
    <row r="1987" spans="1:3" x14ac:dyDescent="0.15">
      <c r="A1987" s="79"/>
      <c r="B1987" s="77" t="str">
        <f t="shared" ca="1" si="62"/>
        <v/>
      </c>
      <c r="C1987" s="11" t="str">
        <f t="shared" ca="1" si="63"/>
        <v/>
      </c>
    </row>
    <row r="1988" spans="1:3" x14ac:dyDescent="0.15">
      <c r="A1988" s="79"/>
      <c r="B1988" s="77" t="str">
        <f t="shared" ca="1" si="62"/>
        <v/>
      </c>
      <c r="C1988" s="11" t="str">
        <f t="shared" ca="1" si="63"/>
        <v/>
      </c>
    </row>
    <row r="1989" spans="1:3" x14ac:dyDescent="0.15">
      <c r="A1989" s="79"/>
      <c r="B1989" s="77" t="str">
        <f t="shared" ca="1" si="62"/>
        <v/>
      </c>
      <c r="C1989" s="11" t="str">
        <f t="shared" ca="1" si="63"/>
        <v/>
      </c>
    </row>
    <row r="1990" spans="1:3" x14ac:dyDescent="0.15">
      <c r="A1990" s="79"/>
      <c r="B1990" s="77" t="str">
        <f t="shared" ca="1" si="62"/>
        <v/>
      </c>
      <c r="C1990" s="11" t="str">
        <f t="shared" ca="1" si="63"/>
        <v/>
      </c>
    </row>
    <row r="1991" spans="1:3" x14ac:dyDescent="0.15">
      <c r="A1991" s="79"/>
      <c r="B1991" s="77" t="str">
        <f t="shared" ca="1" si="62"/>
        <v/>
      </c>
      <c r="C1991" s="11" t="str">
        <f t="shared" ca="1" si="63"/>
        <v/>
      </c>
    </row>
    <row r="1992" spans="1:3" x14ac:dyDescent="0.15">
      <c r="A1992" s="79"/>
      <c r="B1992" s="77" t="str">
        <f t="shared" ca="1" si="62"/>
        <v/>
      </c>
      <c r="C1992" s="11" t="str">
        <f t="shared" ca="1" si="63"/>
        <v/>
      </c>
    </row>
    <row r="1993" spans="1:3" x14ac:dyDescent="0.15">
      <c r="A1993" s="79"/>
      <c r="B1993" s="77" t="str">
        <f t="shared" ca="1" si="62"/>
        <v/>
      </c>
      <c r="C1993" s="11" t="str">
        <f t="shared" ca="1" si="63"/>
        <v/>
      </c>
    </row>
    <row r="1994" spans="1:3" x14ac:dyDescent="0.15">
      <c r="A1994" s="79"/>
      <c r="B1994" s="77" t="str">
        <f t="shared" ca="1" si="62"/>
        <v/>
      </c>
      <c r="C1994" s="11" t="str">
        <f t="shared" ca="1" si="63"/>
        <v/>
      </c>
    </row>
    <row r="1995" spans="1:3" x14ac:dyDescent="0.15">
      <c r="A1995" s="79"/>
      <c r="B1995" s="77" t="str">
        <f t="shared" ca="1" si="62"/>
        <v/>
      </c>
      <c r="C1995" s="11" t="str">
        <f t="shared" ca="1" si="63"/>
        <v/>
      </c>
    </row>
    <row r="1996" spans="1:3" x14ac:dyDescent="0.15">
      <c r="A1996" s="79"/>
      <c r="B1996" s="77" t="str">
        <f t="shared" ca="1" si="62"/>
        <v/>
      </c>
      <c r="C1996" s="11" t="str">
        <f t="shared" ca="1" si="63"/>
        <v/>
      </c>
    </row>
    <row r="1997" spans="1:3" x14ac:dyDescent="0.15">
      <c r="A1997" s="79"/>
      <c r="B1997" s="77" t="str">
        <f t="shared" ca="1" si="62"/>
        <v/>
      </c>
      <c r="C1997" s="11" t="str">
        <f t="shared" ca="1" si="63"/>
        <v/>
      </c>
    </row>
    <row r="1998" spans="1:3" x14ac:dyDescent="0.15">
      <c r="A1998" s="79"/>
      <c r="B1998" s="77" t="str">
        <f t="shared" ca="1" si="62"/>
        <v/>
      </c>
      <c r="C1998" s="11" t="str">
        <f t="shared" ca="1" si="63"/>
        <v/>
      </c>
    </row>
    <row r="1999" spans="1:3" x14ac:dyDescent="0.15">
      <c r="A1999" s="79"/>
      <c r="B1999" s="77" t="str">
        <f t="shared" ca="1" si="62"/>
        <v/>
      </c>
      <c r="C1999" s="11" t="str">
        <f t="shared" ca="1" si="63"/>
        <v/>
      </c>
    </row>
    <row r="2000" spans="1:3" x14ac:dyDescent="0.15">
      <c r="A2000" s="79"/>
      <c r="B2000" s="77" t="str">
        <f t="shared" ca="1" si="62"/>
        <v/>
      </c>
      <c r="C2000" s="11" t="str">
        <f t="shared" ca="1" si="63"/>
        <v/>
      </c>
    </row>
    <row r="2001" spans="1:3" x14ac:dyDescent="0.15">
      <c r="A2001" s="79"/>
      <c r="B2001" s="77" t="str">
        <f t="shared" ca="1" si="62"/>
        <v/>
      </c>
      <c r="C2001" s="11" t="str">
        <f t="shared" ca="1" si="63"/>
        <v/>
      </c>
    </row>
    <row r="2002" spans="1:3" x14ac:dyDescent="0.15">
      <c r="A2002" s="79"/>
      <c r="B2002" s="77" t="str">
        <f t="shared" ca="1" si="62"/>
        <v/>
      </c>
      <c r="C2002" s="11" t="str">
        <f t="shared" ca="1" si="63"/>
        <v/>
      </c>
    </row>
    <row r="2003" spans="1:3" x14ac:dyDescent="0.15">
      <c r="A2003" s="79"/>
      <c r="B2003" s="77" t="str">
        <f t="shared" ca="1" si="62"/>
        <v/>
      </c>
      <c r="C2003" s="11" t="str">
        <f t="shared" ca="1" si="63"/>
        <v/>
      </c>
    </row>
    <row r="2004" spans="1:3" x14ac:dyDescent="0.15">
      <c r="A2004" s="79"/>
      <c r="B2004" s="77" t="str">
        <f t="shared" ca="1" si="62"/>
        <v/>
      </c>
      <c r="C2004" s="11" t="str">
        <f t="shared" ca="1" si="63"/>
        <v/>
      </c>
    </row>
    <row r="2005" spans="1:3" x14ac:dyDescent="0.15">
      <c r="A2005" s="79"/>
      <c r="B2005" s="77" t="str">
        <f t="shared" ca="1" si="62"/>
        <v/>
      </c>
      <c r="C2005" s="11" t="str">
        <f t="shared" ca="1" si="63"/>
        <v/>
      </c>
    </row>
    <row r="2006" spans="1:3" x14ac:dyDescent="0.15">
      <c r="A2006" s="79"/>
      <c r="B2006" s="77" t="str">
        <f t="shared" ca="1" si="62"/>
        <v/>
      </c>
      <c r="C2006" s="11" t="str">
        <f t="shared" ca="1" si="63"/>
        <v/>
      </c>
    </row>
    <row r="2007" spans="1:3" x14ac:dyDescent="0.15">
      <c r="A2007" s="79"/>
      <c r="B2007" s="77" t="str">
        <f t="shared" ca="1" si="62"/>
        <v/>
      </c>
      <c r="C2007" s="11" t="str">
        <f t="shared" ca="1" si="63"/>
        <v/>
      </c>
    </row>
    <row r="2008" spans="1:3" x14ac:dyDescent="0.15">
      <c r="A2008" s="79"/>
      <c r="B2008" s="77" t="str">
        <f t="shared" ca="1" si="62"/>
        <v/>
      </c>
      <c r="C2008" s="11" t="str">
        <f t="shared" ca="1" si="63"/>
        <v/>
      </c>
    </row>
    <row r="2009" spans="1:3" x14ac:dyDescent="0.15">
      <c r="A2009" s="79"/>
      <c r="B2009" s="77" t="str">
        <f t="shared" ca="1" si="62"/>
        <v/>
      </c>
      <c r="C2009" s="11" t="str">
        <f t="shared" ca="1" si="63"/>
        <v/>
      </c>
    </row>
    <row r="2010" spans="1:3" x14ac:dyDescent="0.15">
      <c r="A2010" s="79"/>
      <c r="B2010" s="77" t="str">
        <f t="shared" ca="1" si="62"/>
        <v/>
      </c>
      <c r="C2010" s="11" t="str">
        <f t="shared" ca="1" si="63"/>
        <v/>
      </c>
    </row>
    <row r="2011" spans="1:3" x14ac:dyDescent="0.15">
      <c r="A2011" s="79"/>
      <c r="B2011" s="77" t="str">
        <f t="shared" ca="1" si="62"/>
        <v/>
      </c>
      <c r="C2011" s="11" t="str">
        <f t="shared" ca="1" si="63"/>
        <v/>
      </c>
    </row>
    <row r="2012" spans="1:3" x14ac:dyDescent="0.15">
      <c r="A2012" s="79"/>
      <c r="B2012" s="77" t="str">
        <f t="shared" ca="1" si="62"/>
        <v/>
      </c>
      <c r="C2012" s="11" t="str">
        <f t="shared" ca="1" si="63"/>
        <v/>
      </c>
    </row>
    <row r="2013" spans="1:3" x14ac:dyDescent="0.15">
      <c r="A2013" s="79"/>
      <c r="B2013" s="77" t="str">
        <f t="shared" ca="1" si="62"/>
        <v/>
      </c>
      <c r="C2013" s="11" t="str">
        <f t="shared" ca="1" si="63"/>
        <v/>
      </c>
    </row>
    <row r="2014" spans="1:3" x14ac:dyDescent="0.15">
      <c r="A2014" s="79"/>
      <c r="B2014" s="77" t="str">
        <f t="shared" ca="1" si="62"/>
        <v/>
      </c>
      <c r="C2014" s="11" t="str">
        <f t="shared" ca="1" si="63"/>
        <v/>
      </c>
    </row>
    <row r="2015" spans="1:3" x14ac:dyDescent="0.15">
      <c r="A2015" s="79"/>
      <c r="B2015" s="77" t="str">
        <f t="shared" ca="1" si="62"/>
        <v/>
      </c>
      <c r="C2015" s="11" t="str">
        <f t="shared" ca="1" si="63"/>
        <v/>
      </c>
    </row>
    <row r="2016" spans="1:3" x14ac:dyDescent="0.15">
      <c r="A2016" s="79"/>
      <c r="B2016" s="77" t="str">
        <f t="shared" ca="1" si="62"/>
        <v/>
      </c>
      <c r="C2016" s="11" t="str">
        <f t="shared" ca="1" si="63"/>
        <v/>
      </c>
    </row>
    <row r="2017" spans="1:3" x14ac:dyDescent="0.15">
      <c r="A2017" s="79"/>
      <c r="B2017" s="77" t="str">
        <f t="shared" ca="1" si="62"/>
        <v/>
      </c>
      <c r="C2017" s="11" t="str">
        <f t="shared" ca="1" si="63"/>
        <v/>
      </c>
    </row>
    <row r="2018" spans="1:3" x14ac:dyDescent="0.15">
      <c r="A2018" s="79"/>
      <c r="B2018" s="77" t="str">
        <f t="shared" ca="1" si="62"/>
        <v/>
      </c>
      <c r="C2018" s="11" t="str">
        <f t="shared" ca="1" si="63"/>
        <v/>
      </c>
    </row>
    <row r="2019" spans="1:3" x14ac:dyDescent="0.15">
      <c r="A2019" s="79"/>
      <c r="B2019" s="77" t="str">
        <f t="shared" ca="1" si="62"/>
        <v/>
      </c>
      <c r="C2019" s="11" t="str">
        <f t="shared" ca="1" si="63"/>
        <v/>
      </c>
    </row>
    <row r="2020" spans="1:3" x14ac:dyDescent="0.15">
      <c r="A2020" s="79"/>
      <c r="B2020" s="77" t="str">
        <f t="shared" ca="1" si="62"/>
        <v/>
      </c>
      <c r="C2020" s="11" t="str">
        <f t="shared" ca="1" si="63"/>
        <v/>
      </c>
    </row>
    <row r="2021" spans="1:3" x14ac:dyDescent="0.15">
      <c r="A2021" s="79"/>
      <c r="B2021" s="77" t="str">
        <f t="shared" ca="1" si="62"/>
        <v/>
      </c>
      <c r="C2021" s="11" t="str">
        <f t="shared" ca="1" si="63"/>
        <v/>
      </c>
    </row>
    <row r="2022" spans="1:3" x14ac:dyDescent="0.15">
      <c r="A2022" s="79"/>
      <c r="B2022" s="77" t="str">
        <f t="shared" ca="1" si="62"/>
        <v/>
      </c>
      <c r="C2022" s="11" t="str">
        <f t="shared" ca="1" si="63"/>
        <v/>
      </c>
    </row>
    <row r="2023" spans="1:3" x14ac:dyDescent="0.15">
      <c r="A2023" s="79"/>
      <c r="B2023" s="77" t="str">
        <f t="shared" ca="1" si="62"/>
        <v/>
      </c>
      <c r="C2023" s="11" t="str">
        <f t="shared" ca="1" si="63"/>
        <v/>
      </c>
    </row>
    <row r="2024" spans="1:3" x14ac:dyDescent="0.15">
      <c r="A2024" s="79"/>
      <c r="B2024" s="77" t="str">
        <f t="shared" ca="1" si="62"/>
        <v/>
      </c>
      <c r="C2024" s="11" t="str">
        <f t="shared" ca="1" si="63"/>
        <v/>
      </c>
    </row>
    <row r="2025" spans="1:3" x14ac:dyDescent="0.15">
      <c r="A2025" s="79"/>
      <c r="B2025" s="77" t="str">
        <f t="shared" ca="1" si="62"/>
        <v/>
      </c>
      <c r="C2025" s="11" t="str">
        <f t="shared" ca="1" si="63"/>
        <v/>
      </c>
    </row>
    <row r="2026" spans="1:3" x14ac:dyDescent="0.15">
      <c r="A2026" s="79"/>
      <c r="B2026" s="77" t="str">
        <f t="shared" ca="1" si="62"/>
        <v/>
      </c>
      <c r="C2026" s="11" t="str">
        <f t="shared" ca="1" si="63"/>
        <v/>
      </c>
    </row>
    <row r="2027" spans="1:3" x14ac:dyDescent="0.15">
      <c r="A2027" s="79"/>
      <c r="B2027" s="77" t="str">
        <f t="shared" ca="1" si="62"/>
        <v/>
      </c>
      <c r="C2027" s="11" t="str">
        <f t="shared" ca="1" si="63"/>
        <v/>
      </c>
    </row>
    <row r="2028" spans="1:3" x14ac:dyDescent="0.15">
      <c r="A2028" s="79"/>
      <c r="B2028" s="77" t="str">
        <f t="shared" ca="1" si="62"/>
        <v/>
      </c>
      <c r="C2028" s="11" t="str">
        <f t="shared" ca="1" si="63"/>
        <v/>
      </c>
    </row>
    <row r="2029" spans="1:3" x14ac:dyDescent="0.15">
      <c r="A2029" s="79"/>
      <c r="B2029" s="77" t="str">
        <f t="shared" ca="1" si="62"/>
        <v/>
      </c>
      <c r="C2029" s="11" t="str">
        <f t="shared" ca="1" si="63"/>
        <v/>
      </c>
    </row>
    <row r="2030" spans="1:3" x14ac:dyDescent="0.15">
      <c r="A2030" s="79"/>
      <c r="B2030" s="77" t="str">
        <f t="shared" ca="1" si="62"/>
        <v/>
      </c>
      <c r="C2030" s="11" t="str">
        <f t="shared" ca="1" si="63"/>
        <v/>
      </c>
    </row>
    <row r="2031" spans="1:3" x14ac:dyDescent="0.15">
      <c r="A2031" s="79"/>
      <c r="B2031" s="77" t="str">
        <f t="shared" ca="1" si="62"/>
        <v/>
      </c>
      <c r="C2031" s="11" t="str">
        <f t="shared" ca="1" si="63"/>
        <v/>
      </c>
    </row>
    <row r="2032" spans="1:3" x14ac:dyDescent="0.15">
      <c r="A2032" s="79"/>
      <c r="B2032" s="77" t="str">
        <f t="shared" ca="1" si="62"/>
        <v/>
      </c>
      <c r="C2032" s="11" t="str">
        <f t="shared" ca="1" si="63"/>
        <v/>
      </c>
    </row>
    <row r="2033" spans="1:3" x14ac:dyDescent="0.15">
      <c r="A2033" s="79"/>
      <c r="B2033" s="77" t="str">
        <f t="shared" ca="1" si="62"/>
        <v/>
      </c>
      <c r="C2033" s="11" t="str">
        <f t="shared" ca="1" si="63"/>
        <v/>
      </c>
    </row>
    <row r="2034" spans="1:3" x14ac:dyDescent="0.15">
      <c r="A2034" s="79"/>
      <c r="B2034" s="77" t="str">
        <f t="shared" ca="1" si="62"/>
        <v/>
      </c>
      <c r="C2034" s="11" t="str">
        <f t="shared" ca="1" si="63"/>
        <v/>
      </c>
    </row>
    <row r="2035" spans="1:3" x14ac:dyDescent="0.15">
      <c r="A2035" s="79"/>
      <c r="B2035" s="77" t="str">
        <f t="shared" ca="1" si="62"/>
        <v/>
      </c>
      <c r="C2035" s="11" t="str">
        <f t="shared" ca="1" si="63"/>
        <v/>
      </c>
    </row>
    <row r="2036" spans="1:3" x14ac:dyDescent="0.15">
      <c r="A2036" s="79"/>
      <c r="B2036" s="77" t="str">
        <f t="shared" ca="1" si="62"/>
        <v/>
      </c>
      <c r="C2036" s="11" t="str">
        <f t="shared" ca="1" si="63"/>
        <v/>
      </c>
    </row>
    <row r="2037" spans="1:3" x14ac:dyDescent="0.15">
      <c r="A2037" s="79"/>
      <c r="B2037" s="77" t="str">
        <f t="shared" ca="1" si="62"/>
        <v/>
      </c>
      <c r="C2037" s="11" t="str">
        <f t="shared" ca="1" si="63"/>
        <v/>
      </c>
    </row>
    <row r="2038" spans="1:3" x14ac:dyDescent="0.15">
      <c r="A2038" s="79"/>
      <c r="B2038" s="77" t="str">
        <f t="shared" ca="1" si="62"/>
        <v/>
      </c>
      <c r="C2038" s="11" t="str">
        <f t="shared" ca="1" si="63"/>
        <v/>
      </c>
    </row>
    <row r="2039" spans="1:3" x14ac:dyDescent="0.15">
      <c r="A2039" s="79"/>
      <c r="B2039" s="77" t="str">
        <f t="shared" ca="1" si="62"/>
        <v/>
      </c>
      <c r="C2039" s="11" t="str">
        <f t="shared" ca="1" si="63"/>
        <v/>
      </c>
    </row>
    <row r="2040" spans="1:3" x14ac:dyDescent="0.15">
      <c r="A2040" s="79"/>
      <c r="B2040" s="77" t="str">
        <f t="shared" ca="1" si="62"/>
        <v/>
      </c>
      <c r="C2040" s="11" t="str">
        <f t="shared" ca="1" si="63"/>
        <v/>
      </c>
    </row>
    <row r="2041" spans="1:3" x14ac:dyDescent="0.15">
      <c r="A2041" s="79"/>
      <c r="B2041" s="77" t="str">
        <f t="shared" ca="1" si="62"/>
        <v/>
      </c>
      <c r="C2041" s="11" t="str">
        <f t="shared" ca="1" si="63"/>
        <v/>
      </c>
    </row>
    <row r="2042" spans="1:3" x14ac:dyDescent="0.15">
      <c r="A2042" s="79"/>
      <c r="B2042" s="77" t="str">
        <f t="shared" ca="1" si="62"/>
        <v/>
      </c>
      <c r="C2042" s="11" t="str">
        <f t="shared" ca="1" si="63"/>
        <v/>
      </c>
    </row>
    <row r="2043" spans="1:3" x14ac:dyDescent="0.15">
      <c r="A2043" s="79"/>
      <c r="B2043" s="77" t="str">
        <f t="shared" ca="1" si="62"/>
        <v/>
      </c>
      <c r="C2043" s="11" t="str">
        <f t="shared" ca="1" si="63"/>
        <v/>
      </c>
    </row>
    <row r="2044" spans="1:3" x14ac:dyDescent="0.15">
      <c r="A2044" s="79"/>
      <c r="B2044" s="77" t="str">
        <f t="shared" ca="1" si="62"/>
        <v/>
      </c>
      <c r="C2044" s="11" t="str">
        <f t="shared" ca="1" si="63"/>
        <v/>
      </c>
    </row>
    <row r="2045" spans="1:3" x14ac:dyDescent="0.15">
      <c r="A2045" s="79"/>
      <c r="B2045" s="77" t="str">
        <f t="shared" ca="1" si="62"/>
        <v/>
      </c>
      <c r="C2045" s="11" t="str">
        <f t="shared" ca="1" si="63"/>
        <v/>
      </c>
    </row>
    <row r="2046" spans="1:3" x14ac:dyDescent="0.15">
      <c r="A2046" s="79"/>
      <c r="B2046" s="77" t="str">
        <f t="shared" ca="1" si="62"/>
        <v/>
      </c>
      <c r="C2046" s="11" t="str">
        <f t="shared" ca="1" si="63"/>
        <v/>
      </c>
    </row>
    <row r="2047" spans="1:3" x14ac:dyDescent="0.15">
      <c r="A2047" s="79"/>
      <c r="B2047" s="77" t="str">
        <f t="shared" ca="1" si="62"/>
        <v/>
      </c>
      <c r="C2047" s="11" t="str">
        <f t="shared" ca="1" si="63"/>
        <v/>
      </c>
    </row>
    <row r="2048" spans="1:3" x14ac:dyDescent="0.15">
      <c r="A2048" s="79"/>
      <c r="B2048" s="77" t="str">
        <f t="shared" ca="1" si="62"/>
        <v/>
      </c>
      <c r="C2048" s="11" t="str">
        <f t="shared" ca="1" si="63"/>
        <v/>
      </c>
    </row>
    <row r="2049" spans="1:3" x14ac:dyDescent="0.15">
      <c r="A2049" s="79"/>
      <c r="B2049" s="77" t="str">
        <f t="shared" ca="1" si="62"/>
        <v/>
      </c>
      <c r="C2049" s="11" t="str">
        <f t="shared" ca="1" si="63"/>
        <v/>
      </c>
    </row>
    <row r="2050" spans="1:3" x14ac:dyDescent="0.15">
      <c r="A2050" s="79"/>
      <c r="B2050" s="77" t="str">
        <f t="shared" ref="B2050:B2113" ca="1" si="64">IFERROR(VLOOKUP(TEXT(A2050,"00000000"),analysis_table_by_barcode,15,FALSE),"")</f>
        <v/>
      </c>
      <c r="C2050" s="11" t="str">
        <f t="shared" ref="C2050:C2113" ca="1" si="65">IF($B2050&lt;&gt;"", IF(VLOOKUP(B2050, final_to_ministry_result,2,FALSE)&lt;&gt;"",VLOOKUP(B2050, final_to_ministry_result,2,FALSE),""),"")</f>
        <v/>
      </c>
    </row>
    <row r="2051" spans="1:3" x14ac:dyDescent="0.15">
      <c r="A2051" s="79"/>
      <c r="B2051" s="77" t="str">
        <f t="shared" ca="1" si="64"/>
        <v/>
      </c>
      <c r="C2051" s="11" t="str">
        <f t="shared" ca="1" si="65"/>
        <v/>
      </c>
    </row>
    <row r="2052" spans="1:3" x14ac:dyDescent="0.15">
      <c r="A2052" s="79"/>
      <c r="B2052" s="77" t="str">
        <f t="shared" ca="1" si="64"/>
        <v/>
      </c>
      <c r="C2052" s="11" t="str">
        <f t="shared" ca="1" si="65"/>
        <v/>
      </c>
    </row>
    <row r="2053" spans="1:3" x14ac:dyDescent="0.15">
      <c r="A2053" s="79"/>
      <c r="B2053" s="77" t="str">
        <f t="shared" ca="1" si="64"/>
        <v/>
      </c>
      <c r="C2053" s="11" t="str">
        <f t="shared" ca="1" si="65"/>
        <v/>
      </c>
    </row>
    <row r="2054" spans="1:3" x14ac:dyDescent="0.15">
      <c r="A2054" s="79"/>
      <c r="B2054" s="77" t="str">
        <f t="shared" ca="1" si="64"/>
        <v/>
      </c>
      <c r="C2054" s="11" t="str">
        <f t="shared" ca="1" si="65"/>
        <v/>
      </c>
    </row>
    <row r="2055" spans="1:3" x14ac:dyDescent="0.15">
      <c r="A2055" s="79"/>
      <c r="B2055" s="77" t="str">
        <f t="shared" ca="1" si="64"/>
        <v/>
      </c>
      <c r="C2055" s="11" t="str">
        <f t="shared" ca="1" si="65"/>
        <v/>
      </c>
    </row>
    <row r="2056" spans="1:3" x14ac:dyDescent="0.15">
      <c r="A2056" s="79"/>
      <c r="B2056" s="77" t="str">
        <f t="shared" ca="1" si="64"/>
        <v/>
      </c>
      <c r="C2056" s="11" t="str">
        <f t="shared" ca="1" si="65"/>
        <v/>
      </c>
    </row>
    <row r="2057" spans="1:3" x14ac:dyDescent="0.15">
      <c r="A2057" s="79"/>
      <c r="B2057" s="77" t="str">
        <f t="shared" ca="1" si="64"/>
        <v/>
      </c>
      <c r="C2057" s="11" t="str">
        <f t="shared" ca="1" si="65"/>
        <v/>
      </c>
    </row>
    <row r="2058" spans="1:3" x14ac:dyDescent="0.15">
      <c r="A2058" s="79"/>
      <c r="B2058" s="77" t="str">
        <f t="shared" ca="1" si="64"/>
        <v/>
      </c>
      <c r="C2058" s="11" t="str">
        <f t="shared" ca="1" si="65"/>
        <v/>
      </c>
    </row>
    <row r="2059" spans="1:3" x14ac:dyDescent="0.15">
      <c r="A2059" s="79"/>
      <c r="B2059" s="77" t="str">
        <f t="shared" ca="1" si="64"/>
        <v/>
      </c>
      <c r="C2059" s="11" t="str">
        <f t="shared" ca="1" si="65"/>
        <v/>
      </c>
    </row>
    <row r="2060" spans="1:3" x14ac:dyDescent="0.15">
      <c r="A2060" s="79"/>
      <c r="B2060" s="77" t="str">
        <f t="shared" ca="1" si="64"/>
        <v/>
      </c>
      <c r="C2060" s="11" t="str">
        <f t="shared" ca="1" si="65"/>
        <v/>
      </c>
    </row>
    <row r="2061" spans="1:3" x14ac:dyDescent="0.15">
      <c r="A2061" s="79"/>
      <c r="B2061" s="77" t="str">
        <f t="shared" ca="1" si="64"/>
        <v/>
      </c>
      <c r="C2061" s="11" t="str">
        <f t="shared" ca="1" si="65"/>
        <v/>
      </c>
    </row>
    <row r="2062" spans="1:3" x14ac:dyDescent="0.15">
      <c r="A2062" s="79"/>
      <c r="B2062" s="77" t="str">
        <f t="shared" ca="1" si="64"/>
        <v/>
      </c>
      <c r="C2062" s="11" t="str">
        <f t="shared" ca="1" si="65"/>
        <v/>
      </c>
    </row>
    <row r="2063" spans="1:3" x14ac:dyDescent="0.15">
      <c r="A2063" s="79"/>
      <c r="B2063" s="77" t="str">
        <f t="shared" ca="1" si="64"/>
        <v/>
      </c>
      <c r="C2063" s="11" t="str">
        <f t="shared" ca="1" si="65"/>
        <v/>
      </c>
    </row>
    <row r="2064" spans="1:3" x14ac:dyDescent="0.15">
      <c r="A2064" s="79"/>
      <c r="B2064" s="77" t="str">
        <f t="shared" ca="1" si="64"/>
        <v/>
      </c>
      <c r="C2064" s="11" t="str">
        <f t="shared" ca="1" si="65"/>
        <v/>
      </c>
    </row>
    <row r="2065" spans="1:3" x14ac:dyDescent="0.15">
      <c r="A2065" s="79"/>
      <c r="B2065" s="77" t="str">
        <f t="shared" ca="1" si="64"/>
        <v/>
      </c>
      <c r="C2065" s="11" t="str">
        <f t="shared" ca="1" si="65"/>
        <v/>
      </c>
    </row>
    <row r="2066" spans="1:3" x14ac:dyDescent="0.15">
      <c r="A2066" s="79"/>
      <c r="B2066" s="77" t="str">
        <f t="shared" ca="1" si="64"/>
        <v/>
      </c>
      <c r="C2066" s="11" t="str">
        <f t="shared" ca="1" si="65"/>
        <v/>
      </c>
    </row>
    <row r="2067" spans="1:3" x14ac:dyDescent="0.15">
      <c r="A2067" s="79"/>
      <c r="B2067" s="77" t="str">
        <f t="shared" ca="1" si="64"/>
        <v/>
      </c>
      <c r="C2067" s="11" t="str">
        <f t="shared" ca="1" si="65"/>
        <v/>
      </c>
    </row>
    <row r="2068" spans="1:3" x14ac:dyDescent="0.15">
      <c r="A2068" s="79"/>
      <c r="B2068" s="77" t="str">
        <f t="shared" ca="1" si="64"/>
        <v/>
      </c>
      <c r="C2068" s="11" t="str">
        <f t="shared" ca="1" si="65"/>
        <v/>
      </c>
    </row>
    <row r="2069" spans="1:3" x14ac:dyDescent="0.15">
      <c r="A2069" s="79"/>
      <c r="B2069" s="77" t="str">
        <f t="shared" ca="1" si="64"/>
        <v/>
      </c>
      <c r="C2069" s="11" t="str">
        <f t="shared" ca="1" si="65"/>
        <v/>
      </c>
    </row>
    <row r="2070" spans="1:3" x14ac:dyDescent="0.15">
      <c r="A2070" s="79"/>
      <c r="B2070" s="77" t="str">
        <f t="shared" ca="1" si="64"/>
        <v/>
      </c>
      <c r="C2070" s="11" t="str">
        <f t="shared" ca="1" si="65"/>
        <v/>
      </c>
    </row>
    <row r="2071" spans="1:3" x14ac:dyDescent="0.15">
      <c r="A2071" s="79"/>
      <c r="B2071" s="77" t="str">
        <f t="shared" ca="1" si="64"/>
        <v/>
      </c>
      <c r="C2071" s="11" t="str">
        <f t="shared" ca="1" si="65"/>
        <v/>
      </c>
    </row>
    <row r="2072" spans="1:3" x14ac:dyDescent="0.15">
      <c r="A2072" s="79"/>
      <c r="B2072" s="77" t="str">
        <f t="shared" ca="1" si="64"/>
        <v/>
      </c>
      <c r="C2072" s="11" t="str">
        <f t="shared" ca="1" si="65"/>
        <v/>
      </c>
    </row>
    <row r="2073" spans="1:3" x14ac:dyDescent="0.15">
      <c r="A2073" s="79"/>
      <c r="B2073" s="77" t="str">
        <f t="shared" ca="1" si="64"/>
        <v/>
      </c>
      <c r="C2073" s="11" t="str">
        <f t="shared" ca="1" si="65"/>
        <v/>
      </c>
    </row>
    <row r="2074" spans="1:3" x14ac:dyDescent="0.15">
      <c r="A2074" s="79"/>
      <c r="B2074" s="77" t="str">
        <f t="shared" ca="1" si="64"/>
        <v/>
      </c>
      <c r="C2074" s="11" t="str">
        <f t="shared" ca="1" si="65"/>
        <v/>
      </c>
    </row>
    <row r="2075" spans="1:3" x14ac:dyDescent="0.15">
      <c r="A2075" s="79"/>
      <c r="B2075" s="77" t="str">
        <f t="shared" ca="1" si="64"/>
        <v/>
      </c>
      <c r="C2075" s="11" t="str">
        <f t="shared" ca="1" si="65"/>
        <v/>
      </c>
    </row>
    <row r="2076" spans="1:3" x14ac:dyDescent="0.15">
      <c r="A2076" s="79"/>
      <c r="B2076" s="77" t="str">
        <f t="shared" ca="1" si="64"/>
        <v/>
      </c>
      <c r="C2076" s="11" t="str">
        <f t="shared" ca="1" si="65"/>
        <v/>
      </c>
    </row>
    <row r="2077" spans="1:3" x14ac:dyDescent="0.15">
      <c r="A2077" s="79"/>
      <c r="B2077" s="77" t="str">
        <f t="shared" ca="1" si="64"/>
        <v/>
      </c>
      <c r="C2077" s="11" t="str">
        <f t="shared" ca="1" si="65"/>
        <v/>
      </c>
    </row>
    <row r="2078" spans="1:3" x14ac:dyDescent="0.15">
      <c r="A2078" s="79"/>
      <c r="B2078" s="77" t="str">
        <f t="shared" ca="1" si="64"/>
        <v/>
      </c>
      <c r="C2078" s="11" t="str">
        <f t="shared" ca="1" si="65"/>
        <v/>
      </c>
    </row>
    <row r="2079" spans="1:3" x14ac:dyDescent="0.15">
      <c r="A2079" s="79"/>
      <c r="B2079" s="77" t="str">
        <f t="shared" ca="1" si="64"/>
        <v/>
      </c>
      <c r="C2079" s="11" t="str">
        <f t="shared" ca="1" si="65"/>
        <v/>
      </c>
    </row>
    <row r="2080" spans="1:3" x14ac:dyDescent="0.15">
      <c r="A2080" s="79"/>
      <c r="B2080" s="77" t="str">
        <f t="shared" ca="1" si="64"/>
        <v/>
      </c>
      <c r="C2080" s="11" t="str">
        <f t="shared" ca="1" si="65"/>
        <v/>
      </c>
    </row>
    <row r="2081" spans="1:3" x14ac:dyDescent="0.15">
      <c r="A2081" s="79"/>
      <c r="B2081" s="77" t="str">
        <f t="shared" ca="1" si="64"/>
        <v/>
      </c>
      <c r="C2081" s="11" t="str">
        <f t="shared" ca="1" si="65"/>
        <v/>
      </c>
    </row>
    <row r="2082" spans="1:3" x14ac:dyDescent="0.15">
      <c r="A2082" s="79"/>
      <c r="B2082" s="77" t="str">
        <f t="shared" ca="1" si="64"/>
        <v/>
      </c>
      <c r="C2082" s="11" t="str">
        <f t="shared" ca="1" si="65"/>
        <v/>
      </c>
    </row>
    <row r="2083" spans="1:3" x14ac:dyDescent="0.15">
      <c r="A2083" s="79"/>
      <c r="B2083" s="77" t="str">
        <f t="shared" ca="1" si="64"/>
        <v/>
      </c>
      <c r="C2083" s="11" t="str">
        <f t="shared" ca="1" si="65"/>
        <v/>
      </c>
    </row>
    <row r="2084" spans="1:3" x14ac:dyDescent="0.15">
      <c r="A2084" s="79"/>
      <c r="B2084" s="77" t="str">
        <f t="shared" ca="1" si="64"/>
        <v/>
      </c>
      <c r="C2084" s="11" t="str">
        <f t="shared" ca="1" si="65"/>
        <v/>
      </c>
    </row>
    <row r="2085" spans="1:3" x14ac:dyDescent="0.15">
      <c r="A2085" s="79"/>
      <c r="B2085" s="77" t="str">
        <f t="shared" ca="1" si="64"/>
        <v/>
      </c>
      <c r="C2085" s="11" t="str">
        <f t="shared" ca="1" si="65"/>
        <v/>
      </c>
    </row>
    <row r="2086" spans="1:3" x14ac:dyDescent="0.15">
      <c r="A2086" s="79"/>
      <c r="B2086" s="77" t="str">
        <f t="shared" ca="1" si="64"/>
        <v/>
      </c>
      <c r="C2086" s="11" t="str">
        <f t="shared" ca="1" si="65"/>
        <v/>
      </c>
    </row>
    <row r="2087" spans="1:3" x14ac:dyDescent="0.15">
      <c r="A2087" s="79"/>
      <c r="B2087" s="77" t="str">
        <f t="shared" ca="1" si="64"/>
        <v/>
      </c>
      <c r="C2087" s="11" t="str">
        <f t="shared" ca="1" si="65"/>
        <v/>
      </c>
    </row>
    <row r="2088" spans="1:3" x14ac:dyDescent="0.15">
      <c r="A2088" s="79"/>
      <c r="B2088" s="77" t="str">
        <f t="shared" ca="1" si="64"/>
        <v/>
      </c>
      <c r="C2088" s="11" t="str">
        <f t="shared" ca="1" si="65"/>
        <v/>
      </c>
    </row>
    <row r="2089" spans="1:3" x14ac:dyDescent="0.15">
      <c r="B2089" s="77" t="str">
        <f t="shared" ca="1" si="64"/>
        <v/>
      </c>
      <c r="C2089" s="11" t="str">
        <f t="shared" ca="1" si="65"/>
        <v/>
      </c>
    </row>
    <row r="2090" spans="1:3" x14ac:dyDescent="0.15">
      <c r="B2090" s="77" t="str">
        <f t="shared" ca="1" si="64"/>
        <v/>
      </c>
      <c r="C2090" s="11" t="str">
        <f t="shared" ca="1" si="65"/>
        <v/>
      </c>
    </row>
    <row r="2091" spans="1:3" x14ac:dyDescent="0.15">
      <c r="B2091" s="77" t="str">
        <f t="shared" ca="1" si="64"/>
        <v/>
      </c>
      <c r="C2091" s="11" t="str">
        <f t="shared" ca="1" si="65"/>
        <v/>
      </c>
    </row>
    <row r="2092" spans="1:3" x14ac:dyDescent="0.15">
      <c r="B2092" s="77" t="str">
        <f t="shared" ca="1" si="64"/>
        <v/>
      </c>
      <c r="C2092" s="11" t="str">
        <f t="shared" ca="1" si="65"/>
        <v/>
      </c>
    </row>
    <row r="2093" spans="1:3" x14ac:dyDescent="0.15">
      <c r="B2093" s="77" t="str">
        <f t="shared" ca="1" si="64"/>
        <v/>
      </c>
      <c r="C2093" s="11" t="str">
        <f t="shared" ca="1" si="65"/>
        <v/>
      </c>
    </row>
    <row r="2094" spans="1:3" x14ac:dyDescent="0.15">
      <c r="B2094" s="77" t="str">
        <f t="shared" ca="1" si="64"/>
        <v/>
      </c>
      <c r="C2094" s="11" t="str">
        <f t="shared" ca="1" si="65"/>
        <v/>
      </c>
    </row>
    <row r="2095" spans="1:3" x14ac:dyDescent="0.15">
      <c r="B2095" s="77" t="str">
        <f t="shared" ca="1" si="64"/>
        <v/>
      </c>
      <c r="C2095" s="11" t="str">
        <f t="shared" ca="1" si="65"/>
        <v/>
      </c>
    </row>
    <row r="2096" spans="1:3" x14ac:dyDescent="0.15">
      <c r="B2096" s="77" t="str">
        <f t="shared" ca="1" si="64"/>
        <v/>
      </c>
      <c r="C2096" s="11" t="str">
        <f t="shared" ca="1" si="65"/>
        <v/>
      </c>
    </row>
    <row r="2097" spans="2:3" x14ac:dyDescent="0.15">
      <c r="B2097" s="77" t="str">
        <f t="shared" ca="1" si="64"/>
        <v/>
      </c>
      <c r="C2097" s="11" t="str">
        <f t="shared" ca="1" si="65"/>
        <v/>
      </c>
    </row>
    <row r="2098" spans="2:3" x14ac:dyDescent="0.15">
      <c r="B2098" s="77" t="str">
        <f t="shared" ca="1" si="64"/>
        <v/>
      </c>
      <c r="C2098" s="11" t="str">
        <f t="shared" ca="1" si="65"/>
        <v/>
      </c>
    </row>
    <row r="2099" spans="2:3" x14ac:dyDescent="0.15">
      <c r="B2099" s="77" t="str">
        <f t="shared" ca="1" si="64"/>
        <v/>
      </c>
      <c r="C2099" s="11" t="str">
        <f t="shared" ca="1" si="65"/>
        <v/>
      </c>
    </row>
    <row r="2100" spans="2:3" x14ac:dyDescent="0.15">
      <c r="B2100" s="77" t="str">
        <f t="shared" ca="1" si="64"/>
        <v/>
      </c>
      <c r="C2100" s="11" t="str">
        <f t="shared" ca="1" si="65"/>
        <v/>
      </c>
    </row>
    <row r="2101" spans="2:3" x14ac:dyDescent="0.15">
      <c r="B2101" s="77" t="str">
        <f t="shared" ca="1" si="64"/>
        <v/>
      </c>
      <c r="C2101" s="11" t="str">
        <f t="shared" ca="1" si="65"/>
        <v/>
      </c>
    </row>
    <row r="2102" spans="2:3" x14ac:dyDescent="0.15">
      <c r="B2102" s="77" t="str">
        <f t="shared" ca="1" si="64"/>
        <v/>
      </c>
      <c r="C2102" s="11" t="str">
        <f t="shared" ca="1" si="65"/>
        <v/>
      </c>
    </row>
    <row r="2103" spans="2:3" x14ac:dyDescent="0.15">
      <c r="B2103" s="77" t="str">
        <f t="shared" ca="1" si="64"/>
        <v/>
      </c>
      <c r="C2103" s="11" t="str">
        <f t="shared" ca="1" si="65"/>
        <v/>
      </c>
    </row>
    <row r="2104" spans="2:3" x14ac:dyDescent="0.15">
      <c r="B2104" s="77" t="str">
        <f t="shared" ca="1" si="64"/>
        <v/>
      </c>
      <c r="C2104" s="11" t="str">
        <f t="shared" ca="1" si="65"/>
        <v/>
      </c>
    </row>
    <row r="2105" spans="2:3" x14ac:dyDescent="0.15">
      <c r="B2105" s="77" t="str">
        <f t="shared" ca="1" si="64"/>
        <v/>
      </c>
      <c r="C2105" s="11" t="str">
        <f t="shared" ca="1" si="65"/>
        <v/>
      </c>
    </row>
    <row r="2106" spans="2:3" x14ac:dyDescent="0.15">
      <c r="B2106" s="77" t="str">
        <f t="shared" ca="1" si="64"/>
        <v/>
      </c>
      <c r="C2106" s="11" t="str">
        <f t="shared" ca="1" si="65"/>
        <v/>
      </c>
    </row>
    <row r="2107" spans="2:3" x14ac:dyDescent="0.15">
      <c r="B2107" s="77" t="str">
        <f t="shared" ca="1" si="64"/>
        <v/>
      </c>
      <c r="C2107" s="11" t="str">
        <f t="shared" ca="1" si="65"/>
        <v/>
      </c>
    </row>
    <row r="2108" spans="2:3" x14ac:dyDescent="0.15">
      <c r="B2108" s="77" t="str">
        <f t="shared" ca="1" si="64"/>
        <v/>
      </c>
      <c r="C2108" s="11" t="str">
        <f t="shared" ca="1" si="65"/>
        <v/>
      </c>
    </row>
    <row r="2109" spans="2:3" x14ac:dyDescent="0.15">
      <c r="B2109" s="77" t="str">
        <f t="shared" ca="1" si="64"/>
        <v/>
      </c>
      <c r="C2109" s="11" t="str">
        <f t="shared" ca="1" si="65"/>
        <v/>
      </c>
    </row>
    <row r="2110" spans="2:3" x14ac:dyDescent="0.15">
      <c r="B2110" s="77" t="str">
        <f t="shared" ca="1" si="64"/>
        <v/>
      </c>
      <c r="C2110" s="11" t="str">
        <f t="shared" ca="1" si="65"/>
        <v/>
      </c>
    </row>
    <row r="2111" spans="2:3" x14ac:dyDescent="0.15">
      <c r="B2111" s="77" t="str">
        <f t="shared" ca="1" si="64"/>
        <v/>
      </c>
      <c r="C2111" s="11" t="str">
        <f t="shared" ca="1" si="65"/>
        <v/>
      </c>
    </row>
    <row r="2112" spans="2:3" x14ac:dyDescent="0.15">
      <c r="B2112" s="77" t="str">
        <f t="shared" ca="1" si="64"/>
        <v/>
      </c>
      <c r="C2112" s="11" t="str">
        <f t="shared" ca="1" si="65"/>
        <v/>
      </c>
    </row>
    <row r="2113" spans="2:3" x14ac:dyDescent="0.15">
      <c r="B2113" s="77" t="str">
        <f t="shared" ca="1" si="64"/>
        <v/>
      </c>
      <c r="C2113" s="11" t="str">
        <f t="shared" ca="1" si="65"/>
        <v/>
      </c>
    </row>
    <row r="2114" spans="2:3" x14ac:dyDescent="0.15">
      <c r="B2114" s="77" t="str">
        <f t="shared" ref="B2114:B2177" ca="1" si="66">IFERROR(VLOOKUP(TEXT(A2114,"00000000"),analysis_table_by_barcode,15,FALSE),"")</f>
        <v/>
      </c>
      <c r="C2114" s="11" t="str">
        <f t="shared" ref="C2114:C2177" ca="1" si="67">IF($B2114&lt;&gt;"", IF(VLOOKUP(B2114, final_to_ministry_result,2,FALSE)&lt;&gt;"",VLOOKUP(B2114, final_to_ministry_result,2,FALSE),""),"")</f>
        <v/>
      </c>
    </row>
    <row r="2115" spans="2:3" x14ac:dyDescent="0.15">
      <c r="B2115" s="77" t="str">
        <f t="shared" ca="1" si="66"/>
        <v/>
      </c>
      <c r="C2115" s="11" t="str">
        <f t="shared" ca="1" si="67"/>
        <v/>
      </c>
    </row>
    <row r="2116" spans="2:3" x14ac:dyDescent="0.15">
      <c r="B2116" s="77" t="str">
        <f t="shared" ca="1" si="66"/>
        <v/>
      </c>
      <c r="C2116" s="11" t="str">
        <f t="shared" ca="1" si="67"/>
        <v/>
      </c>
    </row>
    <row r="2117" spans="2:3" x14ac:dyDescent="0.15">
      <c r="B2117" s="77" t="str">
        <f t="shared" ca="1" si="66"/>
        <v/>
      </c>
      <c r="C2117" s="11" t="str">
        <f t="shared" ca="1" si="67"/>
        <v/>
      </c>
    </row>
    <row r="2118" spans="2:3" x14ac:dyDescent="0.15">
      <c r="B2118" s="77" t="str">
        <f t="shared" ca="1" si="66"/>
        <v/>
      </c>
      <c r="C2118" s="11" t="str">
        <f t="shared" ca="1" si="67"/>
        <v/>
      </c>
    </row>
    <row r="2119" spans="2:3" x14ac:dyDescent="0.15">
      <c r="B2119" s="77" t="str">
        <f t="shared" ca="1" si="66"/>
        <v/>
      </c>
      <c r="C2119" s="11" t="str">
        <f t="shared" ca="1" si="67"/>
        <v/>
      </c>
    </row>
    <row r="2120" spans="2:3" x14ac:dyDescent="0.15">
      <c r="B2120" s="77" t="str">
        <f t="shared" ca="1" si="66"/>
        <v/>
      </c>
      <c r="C2120" s="11" t="str">
        <f t="shared" ca="1" si="67"/>
        <v/>
      </c>
    </row>
    <row r="2121" spans="2:3" x14ac:dyDescent="0.15">
      <c r="B2121" s="77" t="str">
        <f t="shared" ca="1" si="66"/>
        <v/>
      </c>
      <c r="C2121" s="11" t="str">
        <f t="shared" ca="1" si="67"/>
        <v/>
      </c>
    </row>
    <row r="2122" spans="2:3" x14ac:dyDescent="0.15">
      <c r="B2122" s="77" t="str">
        <f t="shared" ca="1" si="66"/>
        <v/>
      </c>
      <c r="C2122" s="11" t="str">
        <f t="shared" ca="1" si="67"/>
        <v/>
      </c>
    </row>
    <row r="2123" spans="2:3" x14ac:dyDescent="0.15">
      <c r="B2123" s="77" t="str">
        <f t="shared" ca="1" si="66"/>
        <v/>
      </c>
      <c r="C2123" s="11" t="str">
        <f t="shared" ca="1" si="67"/>
        <v/>
      </c>
    </row>
    <row r="2124" spans="2:3" x14ac:dyDescent="0.15">
      <c r="B2124" s="77" t="str">
        <f t="shared" ca="1" si="66"/>
        <v/>
      </c>
      <c r="C2124" s="11" t="str">
        <f t="shared" ca="1" si="67"/>
        <v/>
      </c>
    </row>
    <row r="2125" spans="2:3" x14ac:dyDescent="0.15">
      <c r="B2125" s="77" t="str">
        <f t="shared" ca="1" si="66"/>
        <v/>
      </c>
      <c r="C2125" s="11" t="str">
        <f t="shared" ca="1" si="67"/>
        <v/>
      </c>
    </row>
    <row r="2126" spans="2:3" x14ac:dyDescent="0.15">
      <c r="B2126" s="77" t="str">
        <f t="shared" ca="1" si="66"/>
        <v/>
      </c>
      <c r="C2126" s="11" t="str">
        <f t="shared" ca="1" si="67"/>
        <v/>
      </c>
    </row>
    <row r="2127" spans="2:3" x14ac:dyDescent="0.15">
      <c r="B2127" s="77" t="str">
        <f t="shared" ca="1" si="66"/>
        <v/>
      </c>
      <c r="C2127" s="11" t="str">
        <f t="shared" ca="1" si="67"/>
        <v/>
      </c>
    </row>
    <row r="2128" spans="2:3" x14ac:dyDescent="0.15">
      <c r="B2128" s="77" t="str">
        <f t="shared" ca="1" si="66"/>
        <v/>
      </c>
      <c r="C2128" s="11" t="str">
        <f t="shared" ca="1" si="67"/>
        <v/>
      </c>
    </row>
    <row r="2129" spans="2:3" x14ac:dyDescent="0.15">
      <c r="B2129" s="77" t="str">
        <f t="shared" ca="1" si="66"/>
        <v/>
      </c>
      <c r="C2129" s="11" t="str">
        <f t="shared" ca="1" si="67"/>
        <v/>
      </c>
    </row>
    <row r="2130" spans="2:3" x14ac:dyDescent="0.15">
      <c r="B2130" s="77" t="str">
        <f t="shared" ca="1" si="66"/>
        <v/>
      </c>
      <c r="C2130" s="11" t="str">
        <f t="shared" ca="1" si="67"/>
        <v/>
      </c>
    </row>
    <row r="2131" spans="2:3" x14ac:dyDescent="0.15">
      <c r="B2131" s="77" t="str">
        <f t="shared" ca="1" si="66"/>
        <v/>
      </c>
      <c r="C2131" s="11" t="str">
        <f t="shared" ca="1" si="67"/>
        <v/>
      </c>
    </row>
    <row r="2132" spans="2:3" x14ac:dyDescent="0.15">
      <c r="B2132" s="77" t="str">
        <f t="shared" ca="1" si="66"/>
        <v/>
      </c>
      <c r="C2132" s="11" t="str">
        <f t="shared" ca="1" si="67"/>
        <v/>
      </c>
    </row>
    <row r="2133" spans="2:3" x14ac:dyDescent="0.15">
      <c r="B2133" s="77" t="str">
        <f t="shared" ca="1" si="66"/>
        <v/>
      </c>
      <c r="C2133" s="11" t="str">
        <f t="shared" ca="1" si="67"/>
        <v/>
      </c>
    </row>
    <row r="2134" spans="2:3" x14ac:dyDescent="0.15">
      <c r="B2134" s="77" t="str">
        <f t="shared" ca="1" si="66"/>
        <v/>
      </c>
      <c r="C2134" s="11" t="str">
        <f t="shared" ca="1" si="67"/>
        <v/>
      </c>
    </row>
    <row r="2135" spans="2:3" x14ac:dyDescent="0.15">
      <c r="B2135" s="77" t="str">
        <f t="shared" ca="1" si="66"/>
        <v/>
      </c>
      <c r="C2135" s="11" t="str">
        <f t="shared" ca="1" si="67"/>
        <v/>
      </c>
    </row>
    <row r="2136" spans="2:3" x14ac:dyDescent="0.15">
      <c r="B2136" s="77" t="str">
        <f t="shared" ca="1" si="66"/>
        <v/>
      </c>
      <c r="C2136" s="11" t="str">
        <f t="shared" ca="1" si="67"/>
        <v/>
      </c>
    </row>
    <row r="2137" spans="2:3" x14ac:dyDescent="0.15">
      <c r="B2137" s="77" t="str">
        <f t="shared" ca="1" si="66"/>
        <v/>
      </c>
      <c r="C2137" s="11" t="str">
        <f t="shared" ca="1" si="67"/>
        <v/>
      </c>
    </row>
    <row r="2138" spans="2:3" x14ac:dyDescent="0.15">
      <c r="B2138" s="77" t="str">
        <f t="shared" ca="1" si="66"/>
        <v/>
      </c>
      <c r="C2138" s="11" t="str">
        <f t="shared" ca="1" si="67"/>
        <v/>
      </c>
    </row>
    <row r="2139" spans="2:3" x14ac:dyDescent="0.15">
      <c r="B2139" s="77" t="str">
        <f t="shared" ca="1" si="66"/>
        <v/>
      </c>
      <c r="C2139" s="11" t="str">
        <f t="shared" ca="1" si="67"/>
        <v/>
      </c>
    </row>
    <row r="2140" spans="2:3" x14ac:dyDescent="0.15">
      <c r="B2140" s="77" t="str">
        <f t="shared" ca="1" si="66"/>
        <v/>
      </c>
      <c r="C2140" s="11" t="str">
        <f t="shared" ca="1" si="67"/>
        <v/>
      </c>
    </row>
    <row r="2141" spans="2:3" x14ac:dyDescent="0.15">
      <c r="B2141" s="77" t="str">
        <f t="shared" ca="1" si="66"/>
        <v/>
      </c>
      <c r="C2141" s="11" t="str">
        <f t="shared" ca="1" si="67"/>
        <v/>
      </c>
    </row>
    <row r="2142" spans="2:3" x14ac:dyDescent="0.15">
      <c r="B2142" s="77" t="str">
        <f t="shared" ca="1" si="66"/>
        <v/>
      </c>
      <c r="C2142" s="11" t="str">
        <f t="shared" ca="1" si="67"/>
        <v/>
      </c>
    </row>
    <row r="2143" spans="2:3" x14ac:dyDescent="0.15">
      <c r="B2143" s="77" t="str">
        <f t="shared" ca="1" si="66"/>
        <v/>
      </c>
      <c r="C2143" s="11" t="str">
        <f t="shared" ca="1" si="67"/>
        <v/>
      </c>
    </row>
    <row r="2144" spans="2:3" x14ac:dyDescent="0.15">
      <c r="B2144" s="77" t="str">
        <f t="shared" ca="1" si="66"/>
        <v/>
      </c>
      <c r="C2144" s="11" t="str">
        <f t="shared" ca="1" si="67"/>
        <v/>
      </c>
    </row>
    <row r="2145" spans="2:3" x14ac:dyDescent="0.15">
      <c r="B2145" s="77" t="str">
        <f t="shared" ca="1" si="66"/>
        <v/>
      </c>
      <c r="C2145" s="11" t="str">
        <f t="shared" ca="1" si="67"/>
        <v/>
      </c>
    </row>
    <row r="2146" spans="2:3" x14ac:dyDescent="0.15">
      <c r="B2146" s="77" t="str">
        <f t="shared" ca="1" si="66"/>
        <v/>
      </c>
      <c r="C2146" s="11" t="str">
        <f t="shared" ca="1" si="67"/>
        <v/>
      </c>
    </row>
    <row r="2147" spans="2:3" x14ac:dyDescent="0.15">
      <c r="B2147" s="77" t="str">
        <f t="shared" ca="1" si="66"/>
        <v/>
      </c>
      <c r="C2147" s="11" t="str">
        <f t="shared" ca="1" si="67"/>
        <v/>
      </c>
    </row>
    <row r="2148" spans="2:3" x14ac:dyDescent="0.15">
      <c r="B2148" s="77" t="str">
        <f t="shared" ca="1" si="66"/>
        <v/>
      </c>
      <c r="C2148" s="11" t="str">
        <f t="shared" ca="1" si="67"/>
        <v/>
      </c>
    </row>
    <row r="2149" spans="2:3" x14ac:dyDescent="0.15">
      <c r="B2149" s="77" t="str">
        <f t="shared" ca="1" si="66"/>
        <v/>
      </c>
      <c r="C2149" s="11" t="str">
        <f t="shared" ca="1" si="67"/>
        <v/>
      </c>
    </row>
    <row r="2150" spans="2:3" x14ac:dyDescent="0.15">
      <c r="B2150" s="77" t="str">
        <f t="shared" ca="1" si="66"/>
        <v/>
      </c>
      <c r="C2150" s="11" t="str">
        <f t="shared" ca="1" si="67"/>
        <v/>
      </c>
    </row>
    <row r="2151" spans="2:3" x14ac:dyDescent="0.15">
      <c r="B2151" s="77" t="str">
        <f t="shared" ca="1" si="66"/>
        <v/>
      </c>
      <c r="C2151" s="11" t="str">
        <f t="shared" ca="1" si="67"/>
        <v/>
      </c>
    </row>
    <row r="2152" spans="2:3" x14ac:dyDescent="0.15">
      <c r="B2152" s="77" t="str">
        <f t="shared" ca="1" si="66"/>
        <v/>
      </c>
      <c r="C2152" s="11" t="str">
        <f t="shared" ca="1" si="67"/>
        <v/>
      </c>
    </row>
    <row r="2153" spans="2:3" x14ac:dyDescent="0.15">
      <c r="B2153" s="77" t="str">
        <f t="shared" ca="1" si="66"/>
        <v/>
      </c>
      <c r="C2153" s="11" t="str">
        <f t="shared" ca="1" si="67"/>
        <v/>
      </c>
    </row>
    <row r="2154" spans="2:3" x14ac:dyDescent="0.15">
      <c r="B2154" s="77" t="str">
        <f t="shared" ca="1" si="66"/>
        <v/>
      </c>
      <c r="C2154" s="11" t="str">
        <f t="shared" ca="1" si="67"/>
        <v/>
      </c>
    </row>
    <row r="2155" spans="2:3" x14ac:dyDescent="0.15">
      <c r="B2155" s="77" t="str">
        <f t="shared" ca="1" si="66"/>
        <v/>
      </c>
      <c r="C2155" s="11" t="str">
        <f t="shared" ca="1" si="67"/>
        <v/>
      </c>
    </row>
    <row r="2156" spans="2:3" x14ac:dyDescent="0.15">
      <c r="B2156" s="77" t="str">
        <f t="shared" ca="1" si="66"/>
        <v/>
      </c>
      <c r="C2156" s="11" t="str">
        <f t="shared" ca="1" si="67"/>
        <v/>
      </c>
    </row>
    <row r="2157" spans="2:3" x14ac:dyDescent="0.15">
      <c r="B2157" s="77" t="str">
        <f t="shared" ca="1" si="66"/>
        <v/>
      </c>
      <c r="C2157" s="11" t="str">
        <f t="shared" ca="1" si="67"/>
        <v/>
      </c>
    </row>
    <row r="2158" spans="2:3" x14ac:dyDescent="0.15">
      <c r="B2158" s="77" t="str">
        <f t="shared" ca="1" si="66"/>
        <v/>
      </c>
      <c r="C2158" s="11" t="str">
        <f t="shared" ca="1" si="67"/>
        <v/>
      </c>
    </row>
    <row r="2159" spans="2:3" x14ac:dyDescent="0.15">
      <c r="B2159" s="77" t="str">
        <f t="shared" ca="1" si="66"/>
        <v/>
      </c>
      <c r="C2159" s="11" t="str">
        <f t="shared" ca="1" si="67"/>
        <v/>
      </c>
    </row>
    <row r="2160" spans="2:3" x14ac:dyDescent="0.15">
      <c r="B2160" s="77" t="str">
        <f t="shared" ca="1" si="66"/>
        <v/>
      </c>
      <c r="C2160" s="11" t="str">
        <f t="shared" ca="1" si="67"/>
        <v/>
      </c>
    </row>
    <row r="2161" spans="2:3" x14ac:dyDescent="0.15">
      <c r="B2161" s="77" t="str">
        <f t="shared" ca="1" si="66"/>
        <v/>
      </c>
      <c r="C2161" s="11" t="str">
        <f t="shared" ca="1" si="67"/>
        <v/>
      </c>
    </row>
    <row r="2162" spans="2:3" x14ac:dyDescent="0.15">
      <c r="B2162" s="77" t="str">
        <f t="shared" ca="1" si="66"/>
        <v/>
      </c>
      <c r="C2162" s="11" t="str">
        <f t="shared" ca="1" si="67"/>
        <v/>
      </c>
    </row>
    <row r="2163" spans="2:3" x14ac:dyDescent="0.15">
      <c r="B2163" s="77" t="str">
        <f t="shared" ca="1" si="66"/>
        <v/>
      </c>
      <c r="C2163" s="11" t="str">
        <f t="shared" ca="1" si="67"/>
        <v/>
      </c>
    </row>
    <row r="2164" spans="2:3" x14ac:dyDescent="0.15">
      <c r="B2164" s="77" t="str">
        <f t="shared" ca="1" si="66"/>
        <v/>
      </c>
      <c r="C2164" s="11" t="str">
        <f t="shared" ca="1" si="67"/>
        <v/>
      </c>
    </row>
    <row r="2165" spans="2:3" x14ac:dyDescent="0.15">
      <c r="B2165" s="77" t="str">
        <f t="shared" ca="1" si="66"/>
        <v/>
      </c>
      <c r="C2165" s="11" t="str">
        <f t="shared" ca="1" si="67"/>
        <v/>
      </c>
    </row>
    <row r="2166" spans="2:3" x14ac:dyDescent="0.15">
      <c r="B2166" s="77" t="str">
        <f t="shared" ca="1" si="66"/>
        <v/>
      </c>
      <c r="C2166" s="11" t="str">
        <f t="shared" ca="1" si="67"/>
        <v/>
      </c>
    </row>
    <row r="2167" spans="2:3" x14ac:dyDescent="0.15">
      <c r="B2167" s="77" t="str">
        <f t="shared" ca="1" si="66"/>
        <v/>
      </c>
      <c r="C2167" s="11" t="str">
        <f t="shared" ca="1" si="67"/>
        <v/>
      </c>
    </row>
    <row r="2168" spans="2:3" x14ac:dyDescent="0.15">
      <c r="B2168" s="77" t="str">
        <f t="shared" ca="1" si="66"/>
        <v/>
      </c>
      <c r="C2168" s="11" t="str">
        <f t="shared" ca="1" si="67"/>
        <v/>
      </c>
    </row>
    <row r="2169" spans="2:3" x14ac:dyDescent="0.15">
      <c r="B2169" s="77" t="str">
        <f t="shared" ca="1" si="66"/>
        <v/>
      </c>
      <c r="C2169" s="11" t="str">
        <f t="shared" ca="1" si="67"/>
        <v/>
      </c>
    </row>
    <row r="2170" spans="2:3" x14ac:dyDescent="0.15">
      <c r="B2170" s="77" t="str">
        <f t="shared" ca="1" si="66"/>
        <v/>
      </c>
      <c r="C2170" s="11" t="str">
        <f t="shared" ca="1" si="67"/>
        <v/>
      </c>
    </row>
    <row r="2171" spans="2:3" x14ac:dyDescent="0.15">
      <c r="B2171" s="77" t="str">
        <f t="shared" ca="1" si="66"/>
        <v/>
      </c>
      <c r="C2171" s="11" t="str">
        <f t="shared" ca="1" si="67"/>
        <v/>
      </c>
    </row>
    <row r="2172" spans="2:3" x14ac:dyDescent="0.15">
      <c r="B2172" s="77" t="str">
        <f t="shared" ca="1" si="66"/>
        <v/>
      </c>
      <c r="C2172" s="11" t="str">
        <f t="shared" ca="1" si="67"/>
        <v/>
      </c>
    </row>
    <row r="2173" spans="2:3" x14ac:dyDescent="0.15">
      <c r="B2173" s="77" t="str">
        <f t="shared" ca="1" si="66"/>
        <v/>
      </c>
      <c r="C2173" s="11" t="str">
        <f t="shared" ca="1" si="67"/>
        <v/>
      </c>
    </row>
    <row r="2174" spans="2:3" x14ac:dyDescent="0.15">
      <c r="B2174" s="77" t="str">
        <f t="shared" ca="1" si="66"/>
        <v/>
      </c>
      <c r="C2174" s="11" t="str">
        <f t="shared" ca="1" si="67"/>
        <v/>
      </c>
    </row>
    <row r="2175" spans="2:3" x14ac:dyDescent="0.15">
      <c r="B2175" s="77" t="str">
        <f t="shared" ca="1" si="66"/>
        <v/>
      </c>
      <c r="C2175" s="11" t="str">
        <f t="shared" ca="1" si="67"/>
        <v/>
      </c>
    </row>
    <row r="2176" spans="2:3" x14ac:dyDescent="0.15">
      <c r="B2176" s="77" t="str">
        <f t="shared" ca="1" si="66"/>
        <v/>
      </c>
      <c r="C2176" s="11" t="str">
        <f t="shared" ca="1" si="67"/>
        <v/>
      </c>
    </row>
    <row r="2177" spans="2:3" x14ac:dyDescent="0.15">
      <c r="B2177" s="77" t="str">
        <f t="shared" ca="1" si="66"/>
        <v/>
      </c>
      <c r="C2177" s="11" t="str">
        <f t="shared" ca="1" si="67"/>
        <v/>
      </c>
    </row>
    <row r="2178" spans="2:3" x14ac:dyDescent="0.15">
      <c r="B2178" s="77" t="str">
        <f t="shared" ref="B2178:B2241" ca="1" si="68">IFERROR(VLOOKUP(TEXT(A2178,"00000000"),analysis_table_by_barcode,15,FALSE),"")</f>
        <v/>
      </c>
      <c r="C2178" s="11" t="str">
        <f t="shared" ref="C2178:C2241" ca="1" si="69">IF($B2178&lt;&gt;"", IF(VLOOKUP(B2178, final_to_ministry_result,2,FALSE)&lt;&gt;"",VLOOKUP(B2178, final_to_ministry_result,2,FALSE),""),"")</f>
        <v/>
      </c>
    </row>
    <row r="2179" spans="2:3" x14ac:dyDescent="0.15">
      <c r="B2179" s="77" t="str">
        <f t="shared" ca="1" si="68"/>
        <v/>
      </c>
      <c r="C2179" s="11" t="str">
        <f t="shared" ca="1" si="69"/>
        <v/>
      </c>
    </row>
    <row r="2180" spans="2:3" x14ac:dyDescent="0.15">
      <c r="B2180" s="77" t="str">
        <f t="shared" ca="1" si="68"/>
        <v/>
      </c>
      <c r="C2180" s="11" t="str">
        <f t="shared" ca="1" si="69"/>
        <v/>
      </c>
    </row>
    <row r="2181" spans="2:3" x14ac:dyDescent="0.15">
      <c r="B2181" s="77" t="str">
        <f t="shared" ca="1" si="68"/>
        <v/>
      </c>
      <c r="C2181" s="11" t="str">
        <f t="shared" ca="1" si="69"/>
        <v/>
      </c>
    </row>
    <row r="2182" spans="2:3" x14ac:dyDescent="0.15">
      <c r="B2182" s="77" t="str">
        <f t="shared" ca="1" si="68"/>
        <v/>
      </c>
      <c r="C2182" s="11" t="str">
        <f t="shared" ca="1" si="69"/>
        <v/>
      </c>
    </row>
    <row r="2183" spans="2:3" x14ac:dyDescent="0.15">
      <c r="B2183" s="77" t="str">
        <f t="shared" ca="1" si="68"/>
        <v/>
      </c>
      <c r="C2183" s="11" t="str">
        <f t="shared" ca="1" si="69"/>
        <v/>
      </c>
    </row>
    <row r="2184" spans="2:3" x14ac:dyDescent="0.15">
      <c r="B2184" s="77" t="str">
        <f t="shared" ca="1" si="68"/>
        <v/>
      </c>
      <c r="C2184" s="11" t="str">
        <f t="shared" ca="1" si="69"/>
        <v/>
      </c>
    </row>
    <row r="2185" spans="2:3" x14ac:dyDescent="0.15">
      <c r="B2185" s="77" t="str">
        <f t="shared" ca="1" si="68"/>
        <v/>
      </c>
      <c r="C2185" s="11" t="str">
        <f t="shared" ca="1" si="69"/>
        <v/>
      </c>
    </row>
    <row r="2186" spans="2:3" x14ac:dyDescent="0.15">
      <c r="B2186" s="77" t="str">
        <f t="shared" ca="1" si="68"/>
        <v/>
      </c>
      <c r="C2186" s="11" t="str">
        <f t="shared" ca="1" si="69"/>
        <v/>
      </c>
    </row>
    <row r="2187" spans="2:3" x14ac:dyDescent="0.15">
      <c r="B2187" s="77" t="str">
        <f t="shared" ca="1" si="68"/>
        <v/>
      </c>
      <c r="C2187" s="11" t="str">
        <f t="shared" ca="1" si="69"/>
        <v/>
      </c>
    </row>
    <row r="2188" spans="2:3" x14ac:dyDescent="0.15">
      <c r="B2188" s="77" t="str">
        <f t="shared" ca="1" si="68"/>
        <v/>
      </c>
      <c r="C2188" s="11" t="str">
        <f t="shared" ca="1" si="69"/>
        <v/>
      </c>
    </row>
    <row r="2189" spans="2:3" x14ac:dyDescent="0.15">
      <c r="B2189" s="77" t="str">
        <f t="shared" ca="1" si="68"/>
        <v/>
      </c>
      <c r="C2189" s="11" t="str">
        <f t="shared" ca="1" si="69"/>
        <v/>
      </c>
    </row>
    <row r="2190" spans="2:3" x14ac:dyDescent="0.15">
      <c r="B2190" s="77" t="str">
        <f t="shared" ca="1" si="68"/>
        <v/>
      </c>
      <c r="C2190" s="11" t="str">
        <f t="shared" ca="1" si="69"/>
        <v/>
      </c>
    </row>
    <row r="2191" spans="2:3" x14ac:dyDescent="0.15">
      <c r="B2191" s="77" t="str">
        <f t="shared" ca="1" si="68"/>
        <v/>
      </c>
      <c r="C2191" s="11" t="str">
        <f t="shared" ca="1" si="69"/>
        <v/>
      </c>
    </row>
    <row r="2192" spans="2:3" x14ac:dyDescent="0.15">
      <c r="B2192" s="77" t="str">
        <f t="shared" ca="1" si="68"/>
        <v/>
      </c>
      <c r="C2192" s="11" t="str">
        <f t="shared" ca="1" si="69"/>
        <v/>
      </c>
    </row>
    <row r="2193" spans="2:3" x14ac:dyDescent="0.15">
      <c r="B2193" s="77" t="str">
        <f t="shared" ca="1" si="68"/>
        <v/>
      </c>
      <c r="C2193" s="11" t="str">
        <f t="shared" ca="1" si="69"/>
        <v/>
      </c>
    </row>
    <row r="2194" spans="2:3" x14ac:dyDescent="0.15">
      <c r="B2194" s="77" t="str">
        <f t="shared" ca="1" si="68"/>
        <v/>
      </c>
      <c r="C2194" s="11" t="str">
        <f t="shared" ca="1" si="69"/>
        <v/>
      </c>
    </row>
    <row r="2195" spans="2:3" x14ac:dyDescent="0.15">
      <c r="B2195" s="77" t="str">
        <f t="shared" ca="1" si="68"/>
        <v/>
      </c>
      <c r="C2195" s="11" t="str">
        <f t="shared" ca="1" si="69"/>
        <v/>
      </c>
    </row>
    <row r="2196" spans="2:3" x14ac:dyDescent="0.15">
      <c r="B2196" s="77" t="str">
        <f t="shared" ca="1" si="68"/>
        <v/>
      </c>
      <c r="C2196" s="11" t="str">
        <f t="shared" ca="1" si="69"/>
        <v/>
      </c>
    </row>
    <row r="2197" spans="2:3" x14ac:dyDescent="0.15">
      <c r="B2197" s="77" t="str">
        <f t="shared" ca="1" si="68"/>
        <v/>
      </c>
      <c r="C2197" s="11" t="str">
        <f t="shared" ca="1" si="69"/>
        <v/>
      </c>
    </row>
    <row r="2198" spans="2:3" x14ac:dyDescent="0.15">
      <c r="B2198" s="77" t="str">
        <f t="shared" ca="1" si="68"/>
        <v/>
      </c>
      <c r="C2198" s="11" t="str">
        <f t="shared" ca="1" si="69"/>
        <v/>
      </c>
    </row>
    <row r="2199" spans="2:3" x14ac:dyDescent="0.15">
      <c r="B2199" s="77" t="str">
        <f t="shared" ca="1" si="68"/>
        <v/>
      </c>
      <c r="C2199" s="11" t="str">
        <f t="shared" ca="1" si="69"/>
        <v/>
      </c>
    </row>
    <row r="2200" spans="2:3" x14ac:dyDescent="0.15">
      <c r="B2200" s="77" t="str">
        <f t="shared" ca="1" si="68"/>
        <v/>
      </c>
      <c r="C2200" s="11" t="str">
        <f t="shared" ca="1" si="69"/>
        <v/>
      </c>
    </row>
    <row r="2201" spans="2:3" x14ac:dyDescent="0.15">
      <c r="B2201" s="77" t="str">
        <f t="shared" ca="1" si="68"/>
        <v/>
      </c>
      <c r="C2201" s="11" t="str">
        <f t="shared" ca="1" si="69"/>
        <v/>
      </c>
    </row>
    <row r="2202" spans="2:3" x14ac:dyDescent="0.15">
      <c r="B2202" s="77" t="str">
        <f t="shared" ca="1" si="68"/>
        <v/>
      </c>
      <c r="C2202" s="11" t="str">
        <f t="shared" ca="1" si="69"/>
        <v/>
      </c>
    </row>
    <row r="2203" spans="2:3" x14ac:dyDescent="0.15">
      <c r="B2203" s="77" t="str">
        <f t="shared" ca="1" si="68"/>
        <v/>
      </c>
      <c r="C2203" s="11" t="str">
        <f t="shared" ca="1" si="69"/>
        <v/>
      </c>
    </row>
    <row r="2204" spans="2:3" x14ac:dyDescent="0.15">
      <c r="B2204" s="77" t="str">
        <f t="shared" ca="1" si="68"/>
        <v/>
      </c>
      <c r="C2204" s="11" t="str">
        <f t="shared" ca="1" si="69"/>
        <v/>
      </c>
    </row>
    <row r="2205" spans="2:3" x14ac:dyDescent="0.15">
      <c r="B2205" s="77" t="str">
        <f t="shared" ca="1" si="68"/>
        <v/>
      </c>
      <c r="C2205" s="11" t="str">
        <f t="shared" ca="1" si="69"/>
        <v/>
      </c>
    </row>
    <row r="2206" spans="2:3" x14ac:dyDescent="0.15">
      <c r="B2206" s="77" t="str">
        <f t="shared" ca="1" si="68"/>
        <v/>
      </c>
      <c r="C2206" s="11" t="str">
        <f t="shared" ca="1" si="69"/>
        <v/>
      </c>
    </row>
    <row r="2207" spans="2:3" x14ac:dyDescent="0.15">
      <c r="B2207" s="77" t="str">
        <f t="shared" ca="1" si="68"/>
        <v/>
      </c>
      <c r="C2207" s="11" t="str">
        <f t="shared" ca="1" si="69"/>
        <v/>
      </c>
    </row>
    <row r="2208" spans="2:3" x14ac:dyDescent="0.15">
      <c r="B2208" s="77" t="str">
        <f t="shared" ca="1" si="68"/>
        <v/>
      </c>
      <c r="C2208" s="11" t="str">
        <f t="shared" ca="1" si="69"/>
        <v/>
      </c>
    </row>
    <row r="2209" spans="2:3" x14ac:dyDescent="0.15">
      <c r="B2209" s="77" t="str">
        <f t="shared" ca="1" si="68"/>
        <v/>
      </c>
      <c r="C2209" s="11" t="str">
        <f t="shared" ca="1" si="69"/>
        <v/>
      </c>
    </row>
    <row r="2210" spans="2:3" x14ac:dyDescent="0.15">
      <c r="B2210" s="77" t="str">
        <f t="shared" ca="1" si="68"/>
        <v/>
      </c>
      <c r="C2210" s="11" t="str">
        <f t="shared" ca="1" si="69"/>
        <v/>
      </c>
    </row>
    <row r="2211" spans="2:3" x14ac:dyDescent="0.15">
      <c r="B2211" s="77" t="str">
        <f t="shared" ca="1" si="68"/>
        <v/>
      </c>
      <c r="C2211" s="11" t="str">
        <f t="shared" ca="1" si="69"/>
        <v/>
      </c>
    </row>
    <row r="2212" spans="2:3" x14ac:dyDescent="0.15">
      <c r="B2212" s="77" t="str">
        <f t="shared" ca="1" si="68"/>
        <v/>
      </c>
      <c r="C2212" s="11" t="str">
        <f t="shared" ca="1" si="69"/>
        <v/>
      </c>
    </row>
    <row r="2213" spans="2:3" x14ac:dyDescent="0.15">
      <c r="B2213" s="77" t="str">
        <f t="shared" ca="1" si="68"/>
        <v/>
      </c>
      <c r="C2213" s="11" t="str">
        <f t="shared" ca="1" si="69"/>
        <v/>
      </c>
    </row>
    <row r="2214" spans="2:3" x14ac:dyDescent="0.15">
      <c r="B2214" s="77" t="str">
        <f t="shared" ca="1" si="68"/>
        <v/>
      </c>
      <c r="C2214" s="11" t="str">
        <f t="shared" ca="1" si="69"/>
        <v/>
      </c>
    </row>
    <row r="2215" spans="2:3" x14ac:dyDescent="0.15">
      <c r="B2215" s="77" t="str">
        <f t="shared" ca="1" si="68"/>
        <v/>
      </c>
      <c r="C2215" s="11" t="str">
        <f t="shared" ca="1" si="69"/>
        <v/>
      </c>
    </row>
    <row r="2216" spans="2:3" x14ac:dyDescent="0.15">
      <c r="B2216" s="77" t="str">
        <f t="shared" ca="1" si="68"/>
        <v/>
      </c>
      <c r="C2216" s="11" t="str">
        <f t="shared" ca="1" si="69"/>
        <v/>
      </c>
    </row>
    <row r="2217" spans="2:3" x14ac:dyDescent="0.15">
      <c r="B2217" s="77" t="str">
        <f t="shared" ca="1" si="68"/>
        <v/>
      </c>
      <c r="C2217" s="11" t="str">
        <f t="shared" ca="1" si="69"/>
        <v/>
      </c>
    </row>
    <row r="2218" spans="2:3" x14ac:dyDescent="0.15">
      <c r="B2218" s="77" t="str">
        <f t="shared" ca="1" si="68"/>
        <v/>
      </c>
      <c r="C2218" s="11" t="str">
        <f t="shared" ca="1" si="69"/>
        <v/>
      </c>
    </row>
    <row r="2219" spans="2:3" x14ac:dyDescent="0.15">
      <c r="B2219" s="77" t="str">
        <f t="shared" ca="1" si="68"/>
        <v/>
      </c>
      <c r="C2219" s="11" t="str">
        <f t="shared" ca="1" si="69"/>
        <v/>
      </c>
    </row>
    <row r="2220" spans="2:3" x14ac:dyDescent="0.15">
      <c r="B2220" s="77" t="str">
        <f t="shared" ca="1" si="68"/>
        <v/>
      </c>
      <c r="C2220" s="11" t="str">
        <f t="shared" ca="1" si="69"/>
        <v/>
      </c>
    </row>
    <row r="2221" spans="2:3" x14ac:dyDescent="0.15">
      <c r="B2221" s="77" t="str">
        <f t="shared" ca="1" si="68"/>
        <v/>
      </c>
      <c r="C2221" s="11" t="str">
        <f t="shared" ca="1" si="69"/>
        <v/>
      </c>
    </row>
    <row r="2222" spans="2:3" x14ac:dyDescent="0.15">
      <c r="B2222" s="77" t="str">
        <f t="shared" ca="1" si="68"/>
        <v/>
      </c>
      <c r="C2222" s="11" t="str">
        <f t="shared" ca="1" si="69"/>
        <v/>
      </c>
    </row>
    <row r="2223" spans="2:3" x14ac:dyDescent="0.15">
      <c r="B2223" s="77" t="str">
        <f t="shared" ca="1" si="68"/>
        <v/>
      </c>
      <c r="C2223" s="11" t="str">
        <f t="shared" ca="1" si="69"/>
        <v/>
      </c>
    </row>
    <row r="2224" spans="2:3" x14ac:dyDescent="0.15">
      <c r="B2224" s="77" t="str">
        <f t="shared" ca="1" si="68"/>
        <v/>
      </c>
      <c r="C2224" s="11" t="str">
        <f t="shared" ca="1" si="69"/>
        <v/>
      </c>
    </row>
    <row r="2225" spans="2:3" x14ac:dyDescent="0.15">
      <c r="B2225" s="77" t="str">
        <f t="shared" ca="1" si="68"/>
        <v/>
      </c>
      <c r="C2225" s="11" t="str">
        <f t="shared" ca="1" si="69"/>
        <v/>
      </c>
    </row>
    <row r="2226" spans="2:3" x14ac:dyDescent="0.15">
      <c r="B2226" s="77" t="str">
        <f t="shared" ca="1" si="68"/>
        <v/>
      </c>
      <c r="C2226" s="11" t="str">
        <f t="shared" ca="1" si="69"/>
        <v/>
      </c>
    </row>
    <row r="2227" spans="2:3" x14ac:dyDescent="0.15">
      <c r="B2227" s="77" t="str">
        <f t="shared" ca="1" si="68"/>
        <v/>
      </c>
      <c r="C2227" s="11" t="str">
        <f t="shared" ca="1" si="69"/>
        <v/>
      </c>
    </row>
    <row r="2228" spans="2:3" x14ac:dyDescent="0.15">
      <c r="B2228" s="77" t="str">
        <f t="shared" ca="1" si="68"/>
        <v/>
      </c>
      <c r="C2228" s="11" t="str">
        <f t="shared" ca="1" si="69"/>
        <v/>
      </c>
    </row>
    <row r="2229" spans="2:3" x14ac:dyDescent="0.15">
      <c r="B2229" s="77" t="str">
        <f t="shared" ca="1" si="68"/>
        <v/>
      </c>
      <c r="C2229" s="11" t="str">
        <f t="shared" ca="1" si="69"/>
        <v/>
      </c>
    </row>
    <row r="2230" spans="2:3" x14ac:dyDescent="0.15">
      <c r="B2230" s="77" t="str">
        <f t="shared" ca="1" si="68"/>
        <v/>
      </c>
      <c r="C2230" s="11" t="str">
        <f t="shared" ca="1" si="69"/>
        <v/>
      </c>
    </row>
    <row r="2231" spans="2:3" x14ac:dyDescent="0.15">
      <c r="B2231" s="77" t="str">
        <f t="shared" ca="1" si="68"/>
        <v/>
      </c>
      <c r="C2231" s="11" t="str">
        <f t="shared" ca="1" si="69"/>
        <v/>
      </c>
    </row>
    <row r="2232" spans="2:3" x14ac:dyDescent="0.15">
      <c r="B2232" s="77" t="str">
        <f t="shared" ca="1" si="68"/>
        <v/>
      </c>
      <c r="C2232" s="11" t="str">
        <f t="shared" ca="1" si="69"/>
        <v/>
      </c>
    </row>
    <row r="2233" spans="2:3" x14ac:dyDescent="0.15">
      <c r="B2233" s="77" t="str">
        <f t="shared" ca="1" si="68"/>
        <v/>
      </c>
      <c r="C2233" s="11" t="str">
        <f t="shared" ca="1" si="69"/>
        <v/>
      </c>
    </row>
    <row r="2234" spans="2:3" x14ac:dyDescent="0.15">
      <c r="B2234" s="77" t="str">
        <f t="shared" ca="1" si="68"/>
        <v/>
      </c>
      <c r="C2234" s="11" t="str">
        <f t="shared" ca="1" si="69"/>
        <v/>
      </c>
    </row>
    <row r="2235" spans="2:3" x14ac:dyDescent="0.15">
      <c r="B2235" s="77" t="str">
        <f t="shared" ca="1" si="68"/>
        <v/>
      </c>
      <c r="C2235" s="11" t="str">
        <f t="shared" ca="1" si="69"/>
        <v/>
      </c>
    </row>
    <row r="2236" spans="2:3" x14ac:dyDescent="0.15">
      <c r="B2236" s="77" t="str">
        <f t="shared" ca="1" si="68"/>
        <v/>
      </c>
      <c r="C2236" s="11" t="str">
        <f t="shared" ca="1" si="69"/>
        <v/>
      </c>
    </row>
    <row r="2237" spans="2:3" x14ac:dyDescent="0.15">
      <c r="B2237" s="77" t="str">
        <f t="shared" ca="1" si="68"/>
        <v/>
      </c>
      <c r="C2237" s="11" t="str">
        <f t="shared" ca="1" si="69"/>
        <v/>
      </c>
    </row>
    <row r="2238" spans="2:3" x14ac:dyDescent="0.15">
      <c r="B2238" s="77" t="str">
        <f t="shared" ca="1" si="68"/>
        <v/>
      </c>
      <c r="C2238" s="11" t="str">
        <f t="shared" ca="1" si="69"/>
        <v/>
      </c>
    </row>
    <row r="2239" spans="2:3" x14ac:dyDescent="0.15">
      <c r="B2239" s="77" t="str">
        <f t="shared" ca="1" si="68"/>
        <v/>
      </c>
      <c r="C2239" s="11" t="str">
        <f t="shared" ca="1" si="69"/>
        <v/>
      </c>
    </row>
    <row r="2240" spans="2:3" x14ac:dyDescent="0.15">
      <c r="B2240" s="77" t="str">
        <f t="shared" ca="1" si="68"/>
        <v/>
      </c>
      <c r="C2240" s="11" t="str">
        <f t="shared" ca="1" si="69"/>
        <v/>
      </c>
    </row>
    <row r="2241" spans="2:3" x14ac:dyDescent="0.15">
      <c r="B2241" s="77" t="str">
        <f t="shared" ca="1" si="68"/>
        <v/>
      </c>
      <c r="C2241" s="11" t="str">
        <f t="shared" ca="1" si="69"/>
        <v/>
      </c>
    </row>
    <row r="2242" spans="2:3" x14ac:dyDescent="0.15">
      <c r="B2242" s="77" t="str">
        <f t="shared" ref="B2242:B2305" ca="1" si="70">IFERROR(VLOOKUP(TEXT(A2242,"00000000"),analysis_table_by_barcode,15,FALSE),"")</f>
        <v/>
      </c>
      <c r="C2242" s="11" t="str">
        <f t="shared" ref="C2242:C2305" ca="1" si="71">IF($B2242&lt;&gt;"", IF(VLOOKUP(B2242, final_to_ministry_result,2,FALSE)&lt;&gt;"",VLOOKUP(B2242, final_to_ministry_result,2,FALSE),""),"")</f>
        <v/>
      </c>
    </row>
    <row r="2243" spans="2:3" x14ac:dyDescent="0.15">
      <c r="B2243" s="77" t="str">
        <f t="shared" ca="1" si="70"/>
        <v/>
      </c>
      <c r="C2243" s="11" t="str">
        <f t="shared" ca="1" si="71"/>
        <v/>
      </c>
    </row>
    <row r="2244" spans="2:3" x14ac:dyDescent="0.15">
      <c r="B2244" s="77" t="str">
        <f t="shared" ca="1" si="70"/>
        <v/>
      </c>
      <c r="C2244" s="11" t="str">
        <f t="shared" ca="1" si="71"/>
        <v/>
      </c>
    </row>
    <row r="2245" spans="2:3" x14ac:dyDescent="0.15">
      <c r="B2245" s="77" t="str">
        <f t="shared" ca="1" si="70"/>
        <v/>
      </c>
      <c r="C2245" s="11" t="str">
        <f t="shared" ca="1" si="71"/>
        <v/>
      </c>
    </row>
    <row r="2246" spans="2:3" x14ac:dyDescent="0.15">
      <c r="B2246" s="77" t="str">
        <f t="shared" ca="1" si="70"/>
        <v/>
      </c>
      <c r="C2246" s="11" t="str">
        <f t="shared" ca="1" si="71"/>
        <v/>
      </c>
    </row>
    <row r="2247" spans="2:3" x14ac:dyDescent="0.15">
      <c r="B2247" s="77" t="str">
        <f t="shared" ca="1" si="70"/>
        <v/>
      </c>
      <c r="C2247" s="11" t="str">
        <f t="shared" ca="1" si="71"/>
        <v/>
      </c>
    </row>
    <row r="2248" spans="2:3" x14ac:dyDescent="0.15">
      <c r="B2248" s="77" t="str">
        <f t="shared" ca="1" si="70"/>
        <v/>
      </c>
      <c r="C2248" s="11" t="str">
        <f t="shared" ca="1" si="71"/>
        <v/>
      </c>
    </row>
    <row r="2249" spans="2:3" x14ac:dyDescent="0.15">
      <c r="B2249" s="77" t="str">
        <f t="shared" ca="1" si="70"/>
        <v/>
      </c>
      <c r="C2249" s="11" t="str">
        <f t="shared" ca="1" si="71"/>
        <v/>
      </c>
    </row>
    <row r="2250" spans="2:3" x14ac:dyDescent="0.15">
      <c r="B2250" s="77" t="str">
        <f t="shared" ca="1" si="70"/>
        <v/>
      </c>
      <c r="C2250" s="11" t="str">
        <f t="shared" ca="1" si="71"/>
        <v/>
      </c>
    </row>
    <row r="2251" spans="2:3" x14ac:dyDescent="0.15">
      <c r="B2251" s="77" t="str">
        <f t="shared" ca="1" si="70"/>
        <v/>
      </c>
      <c r="C2251" s="11" t="str">
        <f t="shared" ca="1" si="71"/>
        <v/>
      </c>
    </row>
    <row r="2252" spans="2:3" x14ac:dyDescent="0.15">
      <c r="B2252" s="77" t="str">
        <f t="shared" ca="1" si="70"/>
        <v/>
      </c>
      <c r="C2252" s="11" t="str">
        <f t="shared" ca="1" si="71"/>
        <v/>
      </c>
    </row>
    <row r="2253" spans="2:3" x14ac:dyDescent="0.15">
      <c r="B2253" s="77" t="str">
        <f t="shared" ca="1" si="70"/>
        <v/>
      </c>
      <c r="C2253" s="11" t="str">
        <f t="shared" ca="1" si="71"/>
        <v/>
      </c>
    </row>
    <row r="2254" spans="2:3" x14ac:dyDescent="0.15">
      <c r="B2254" s="77" t="str">
        <f t="shared" ca="1" si="70"/>
        <v/>
      </c>
      <c r="C2254" s="11" t="str">
        <f t="shared" ca="1" si="71"/>
        <v/>
      </c>
    </row>
    <row r="2255" spans="2:3" x14ac:dyDescent="0.15">
      <c r="B2255" s="77" t="str">
        <f t="shared" ca="1" si="70"/>
        <v/>
      </c>
      <c r="C2255" s="11" t="str">
        <f t="shared" ca="1" si="71"/>
        <v/>
      </c>
    </row>
    <row r="2256" spans="2:3" x14ac:dyDescent="0.15">
      <c r="B2256" s="77" t="str">
        <f t="shared" ca="1" si="70"/>
        <v/>
      </c>
      <c r="C2256" s="11" t="str">
        <f t="shared" ca="1" si="71"/>
        <v/>
      </c>
    </row>
    <row r="2257" spans="2:3" x14ac:dyDescent="0.15">
      <c r="B2257" s="77" t="str">
        <f t="shared" ca="1" si="70"/>
        <v/>
      </c>
      <c r="C2257" s="11" t="str">
        <f t="shared" ca="1" si="71"/>
        <v/>
      </c>
    </row>
    <row r="2258" spans="2:3" x14ac:dyDescent="0.15">
      <c r="B2258" s="77" t="str">
        <f t="shared" ca="1" si="70"/>
        <v/>
      </c>
      <c r="C2258" s="11" t="str">
        <f t="shared" ca="1" si="71"/>
        <v/>
      </c>
    </row>
    <row r="2259" spans="2:3" x14ac:dyDescent="0.15">
      <c r="B2259" s="77" t="str">
        <f t="shared" ca="1" si="70"/>
        <v/>
      </c>
      <c r="C2259" s="11" t="str">
        <f t="shared" ca="1" si="71"/>
        <v/>
      </c>
    </row>
    <row r="2260" spans="2:3" x14ac:dyDescent="0.15">
      <c r="B2260" s="77" t="str">
        <f t="shared" ca="1" si="70"/>
        <v/>
      </c>
      <c r="C2260" s="11" t="str">
        <f t="shared" ca="1" si="71"/>
        <v/>
      </c>
    </row>
    <row r="2261" spans="2:3" x14ac:dyDescent="0.15">
      <c r="B2261" s="77" t="str">
        <f t="shared" ca="1" si="70"/>
        <v/>
      </c>
      <c r="C2261" s="11" t="str">
        <f t="shared" ca="1" si="71"/>
        <v/>
      </c>
    </row>
    <row r="2262" spans="2:3" x14ac:dyDescent="0.15">
      <c r="B2262" s="77" t="str">
        <f t="shared" ca="1" si="70"/>
        <v/>
      </c>
      <c r="C2262" s="11" t="str">
        <f t="shared" ca="1" si="71"/>
        <v/>
      </c>
    </row>
    <row r="2263" spans="2:3" x14ac:dyDescent="0.15">
      <c r="B2263" s="77" t="str">
        <f t="shared" ca="1" si="70"/>
        <v/>
      </c>
      <c r="C2263" s="11" t="str">
        <f t="shared" ca="1" si="71"/>
        <v/>
      </c>
    </row>
    <row r="2264" spans="2:3" x14ac:dyDescent="0.15">
      <c r="B2264" s="77" t="str">
        <f t="shared" ca="1" si="70"/>
        <v/>
      </c>
      <c r="C2264" s="11" t="str">
        <f t="shared" ca="1" si="71"/>
        <v/>
      </c>
    </row>
    <row r="2265" spans="2:3" x14ac:dyDescent="0.15">
      <c r="B2265" s="77" t="str">
        <f t="shared" ca="1" si="70"/>
        <v/>
      </c>
      <c r="C2265" s="11" t="str">
        <f t="shared" ca="1" si="71"/>
        <v/>
      </c>
    </row>
    <row r="2266" spans="2:3" x14ac:dyDescent="0.15">
      <c r="B2266" s="77" t="str">
        <f t="shared" ca="1" si="70"/>
        <v/>
      </c>
      <c r="C2266" s="11" t="str">
        <f t="shared" ca="1" si="71"/>
        <v/>
      </c>
    </row>
    <row r="2267" spans="2:3" x14ac:dyDescent="0.15">
      <c r="B2267" s="77" t="str">
        <f t="shared" ca="1" si="70"/>
        <v/>
      </c>
      <c r="C2267" s="11" t="str">
        <f t="shared" ca="1" si="71"/>
        <v/>
      </c>
    </row>
    <row r="2268" spans="2:3" x14ac:dyDescent="0.15">
      <c r="B2268" s="77" t="str">
        <f t="shared" ca="1" si="70"/>
        <v/>
      </c>
      <c r="C2268" s="11" t="str">
        <f t="shared" ca="1" si="71"/>
        <v/>
      </c>
    </row>
    <row r="2269" spans="2:3" x14ac:dyDescent="0.15">
      <c r="B2269" s="77" t="str">
        <f t="shared" ca="1" si="70"/>
        <v/>
      </c>
      <c r="C2269" s="11" t="str">
        <f t="shared" ca="1" si="71"/>
        <v/>
      </c>
    </row>
    <row r="2270" spans="2:3" x14ac:dyDescent="0.15">
      <c r="B2270" s="77" t="str">
        <f t="shared" ca="1" si="70"/>
        <v/>
      </c>
      <c r="C2270" s="11" t="str">
        <f t="shared" ca="1" si="71"/>
        <v/>
      </c>
    </row>
    <row r="2271" spans="2:3" x14ac:dyDescent="0.15">
      <c r="B2271" s="77" t="str">
        <f t="shared" ca="1" si="70"/>
        <v/>
      </c>
      <c r="C2271" s="11" t="str">
        <f t="shared" ca="1" si="71"/>
        <v/>
      </c>
    </row>
    <row r="2272" spans="2:3" x14ac:dyDescent="0.15">
      <c r="B2272" s="77" t="str">
        <f t="shared" ca="1" si="70"/>
        <v/>
      </c>
      <c r="C2272" s="11" t="str">
        <f t="shared" ca="1" si="71"/>
        <v/>
      </c>
    </row>
    <row r="2273" spans="2:3" x14ac:dyDescent="0.15">
      <c r="B2273" s="77" t="str">
        <f t="shared" ca="1" si="70"/>
        <v/>
      </c>
      <c r="C2273" s="11" t="str">
        <f t="shared" ca="1" si="71"/>
        <v/>
      </c>
    </row>
    <row r="2274" spans="2:3" x14ac:dyDescent="0.15">
      <c r="B2274" s="77" t="str">
        <f t="shared" ca="1" si="70"/>
        <v/>
      </c>
      <c r="C2274" s="11" t="str">
        <f t="shared" ca="1" si="71"/>
        <v/>
      </c>
    </row>
    <row r="2275" spans="2:3" x14ac:dyDescent="0.15">
      <c r="B2275" s="77" t="str">
        <f t="shared" ca="1" si="70"/>
        <v/>
      </c>
      <c r="C2275" s="11" t="str">
        <f t="shared" ca="1" si="71"/>
        <v/>
      </c>
    </row>
    <row r="2276" spans="2:3" x14ac:dyDescent="0.15">
      <c r="B2276" s="77" t="str">
        <f t="shared" ca="1" si="70"/>
        <v/>
      </c>
      <c r="C2276" s="11" t="str">
        <f t="shared" ca="1" si="71"/>
        <v/>
      </c>
    </row>
    <row r="2277" spans="2:3" x14ac:dyDescent="0.15">
      <c r="B2277" s="77" t="str">
        <f t="shared" ca="1" si="70"/>
        <v/>
      </c>
      <c r="C2277" s="11" t="str">
        <f t="shared" ca="1" si="71"/>
        <v/>
      </c>
    </row>
    <row r="2278" spans="2:3" x14ac:dyDescent="0.15">
      <c r="B2278" s="77" t="str">
        <f t="shared" ca="1" si="70"/>
        <v/>
      </c>
      <c r="C2278" s="11" t="str">
        <f t="shared" ca="1" si="71"/>
        <v/>
      </c>
    </row>
    <row r="2279" spans="2:3" x14ac:dyDescent="0.15">
      <c r="B2279" s="77" t="str">
        <f t="shared" ca="1" si="70"/>
        <v/>
      </c>
      <c r="C2279" s="11" t="str">
        <f t="shared" ca="1" si="71"/>
        <v/>
      </c>
    </row>
    <row r="2280" spans="2:3" x14ac:dyDescent="0.15">
      <c r="B2280" s="77" t="str">
        <f t="shared" ca="1" si="70"/>
        <v/>
      </c>
      <c r="C2280" s="11" t="str">
        <f t="shared" ca="1" si="71"/>
        <v/>
      </c>
    </row>
    <row r="2281" spans="2:3" x14ac:dyDescent="0.15">
      <c r="B2281" s="77" t="str">
        <f t="shared" ca="1" si="70"/>
        <v/>
      </c>
      <c r="C2281" s="11" t="str">
        <f t="shared" ca="1" si="71"/>
        <v/>
      </c>
    </row>
    <row r="2282" spans="2:3" x14ac:dyDescent="0.15">
      <c r="B2282" s="77" t="str">
        <f t="shared" ca="1" si="70"/>
        <v/>
      </c>
      <c r="C2282" s="11" t="str">
        <f t="shared" ca="1" si="71"/>
        <v/>
      </c>
    </row>
    <row r="2283" spans="2:3" x14ac:dyDescent="0.15">
      <c r="B2283" s="77" t="str">
        <f t="shared" ca="1" si="70"/>
        <v/>
      </c>
      <c r="C2283" s="11" t="str">
        <f t="shared" ca="1" si="71"/>
        <v/>
      </c>
    </row>
    <row r="2284" spans="2:3" x14ac:dyDescent="0.15">
      <c r="B2284" s="77" t="str">
        <f t="shared" ca="1" si="70"/>
        <v/>
      </c>
      <c r="C2284" s="11" t="str">
        <f t="shared" ca="1" si="71"/>
        <v/>
      </c>
    </row>
    <row r="2285" spans="2:3" x14ac:dyDescent="0.15">
      <c r="B2285" s="77" t="str">
        <f t="shared" ca="1" si="70"/>
        <v/>
      </c>
      <c r="C2285" s="11" t="str">
        <f t="shared" ca="1" si="71"/>
        <v/>
      </c>
    </row>
    <row r="2286" spans="2:3" x14ac:dyDescent="0.15">
      <c r="B2286" s="77" t="str">
        <f t="shared" ca="1" si="70"/>
        <v/>
      </c>
      <c r="C2286" s="11" t="str">
        <f t="shared" ca="1" si="71"/>
        <v/>
      </c>
    </row>
    <row r="2287" spans="2:3" x14ac:dyDescent="0.15">
      <c r="B2287" s="77" t="str">
        <f t="shared" ca="1" si="70"/>
        <v/>
      </c>
      <c r="C2287" s="11" t="str">
        <f t="shared" ca="1" si="71"/>
        <v/>
      </c>
    </row>
    <row r="2288" spans="2:3" x14ac:dyDescent="0.15">
      <c r="B2288" s="77" t="str">
        <f t="shared" ca="1" si="70"/>
        <v/>
      </c>
      <c r="C2288" s="11" t="str">
        <f t="shared" ca="1" si="71"/>
        <v/>
      </c>
    </row>
    <row r="2289" spans="2:3" x14ac:dyDescent="0.15">
      <c r="B2289" s="77" t="str">
        <f t="shared" ca="1" si="70"/>
        <v/>
      </c>
      <c r="C2289" s="11" t="str">
        <f t="shared" ca="1" si="71"/>
        <v/>
      </c>
    </row>
    <row r="2290" spans="2:3" x14ac:dyDescent="0.15">
      <c r="B2290" s="77" t="str">
        <f t="shared" ca="1" si="70"/>
        <v/>
      </c>
      <c r="C2290" s="11" t="str">
        <f t="shared" ca="1" si="71"/>
        <v/>
      </c>
    </row>
    <row r="2291" spans="2:3" x14ac:dyDescent="0.15">
      <c r="B2291" s="77" t="str">
        <f t="shared" ca="1" si="70"/>
        <v/>
      </c>
      <c r="C2291" s="11" t="str">
        <f t="shared" ca="1" si="71"/>
        <v/>
      </c>
    </row>
    <row r="2292" spans="2:3" x14ac:dyDescent="0.15">
      <c r="B2292" s="77" t="str">
        <f t="shared" ca="1" si="70"/>
        <v/>
      </c>
      <c r="C2292" s="11" t="str">
        <f t="shared" ca="1" si="71"/>
        <v/>
      </c>
    </row>
    <row r="2293" spans="2:3" x14ac:dyDescent="0.15">
      <c r="B2293" s="77" t="str">
        <f t="shared" ca="1" si="70"/>
        <v/>
      </c>
      <c r="C2293" s="11" t="str">
        <f t="shared" ca="1" si="71"/>
        <v/>
      </c>
    </row>
    <row r="2294" spans="2:3" x14ac:dyDescent="0.15">
      <c r="B2294" s="77" t="str">
        <f t="shared" ca="1" si="70"/>
        <v/>
      </c>
      <c r="C2294" s="11" t="str">
        <f t="shared" ca="1" si="71"/>
        <v/>
      </c>
    </row>
    <row r="2295" spans="2:3" x14ac:dyDescent="0.15">
      <c r="B2295" s="77" t="str">
        <f t="shared" ca="1" si="70"/>
        <v/>
      </c>
      <c r="C2295" s="11" t="str">
        <f t="shared" ca="1" si="71"/>
        <v/>
      </c>
    </row>
    <row r="2296" spans="2:3" x14ac:dyDescent="0.15">
      <c r="B2296" s="77" t="str">
        <f t="shared" ca="1" si="70"/>
        <v/>
      </c>
      <c r="C2296" s="11" t="str">
        <f t="shared" ca="1" si="71"/>
        <v/>
      </c>
    </row>
    <row r="2297" spans="2:3" x14ac:dyDescent="0.15">
      <c r="B2297" s="77" t="str">
        <f t="shared" ca="1" si="70"/>
        <v/>
      </c>
      <c r="C2297" s="11" t="str">
        <f t="shared" ca="1" si="71"/>
        <v/>
      </c>
    </row>
    <row r="2298" spans="2:3" x14ac:dyDescent="0.15">
      <c r="B2298" s="77" t="str">
        <f t="shared" ca="1" si="70"/>
        <v/>
      </c>
      <c r="C2298" s="11" t="str">
        <f t="shared" ca="1" si="71"/>
        <v/>
      </c>
    </row>
    <row r="2299" spans="2:3" x14ac:dyDescent="0.15">
      <c r="B2299" s="77" t="str">
        <f t="shared" ca="1" si="70"/>
        <v/>
      </c>
      <c r="C2299" s="11" t="str">
        <f t="shared" ca="1" si="71"/>
        <v/>
      </c>
    </row>
    <row r="2300" spans="2:3" x14ac:dyDescent="0.15">
      <c r="B2300" s="77" t="str">
        <f t="shared" ca="1" si="70"/>
        <v/>
      </c>
      <c r="C2300" s="11" t="str">
        <f t="shared" ca="1" si="71"/>
        <v/>
      </c>
    </row>
    <row r="2301" spans="2:3" x14ac:dyDescent="0.15">
      <c r="B2301" s="77" t="str">
        <f t="shared" ca="1" si="70"/>
        <v/>
      </c>
      <c r="C2301" s="11" t="str">
        <f t="shared" ca="1" si="71"/>
        <v/>
      </c>
    </row>
    <row r="2302" spans="2:3" x14ac:dyDescent="0.15">
      <c r="B2302" s="77" t="str">
        <f t="shared" ca="1" si="70"/>
        <v/>
      </c>
      <c r="C2302" s="11" t="str">
        <f t="shared" ca="1" si="71"/>
        <v/>
      </c>
    </row>
    <row r="2303" spans="2:3" x14ac:dyDescent="0.15">
      <c r="B2303" s="77" t="str">
        <f t="shared" ca="1" si="70"/>
        <v/>
      </c>
      <c r="C2303" s="11" t="str">
        <f t="shared" ca="1" si="71"/>
        <v/>
      </c>
    </row>
    <row r="2304" spans="2:3" x14ac:dyDescent="0.15">
      <c r="B2304" s="77" t="str">
        <f t="shared" ca="1" si="70"/>
        <v/>
      </c>
      <c r="C2304" s="11" t="str">
        <f t="shared" ca="1" si="71"/>
        <v/>
      </c>
    </row>
    <row r="2305" spans="2:3" x14ac:dyDescent="0.15">
      <c r="B2305" s="77" t="str">
        <f t="shared" ca="1" si="70"/>
        <v/>
      </c>
      <c r="C2305" s="11" t="str">
        <f t="shared" ca="1" si="71"/>
        <v/>
      </c>
    </row>
    <row r="2306" spans="2:3" x14ac:dyDescent="0.15">
      <c r="B2306" s="77" t="str">
        <f t="shared" ref="B2306:B2369" ca="1" si="72">IFERROR(VLOOKUP(TEXT(A2306,"00000000"),analysis_table_by_barcode,15,FALSE),"")</f>
        <v/>
      </c>
      <c r="C2306" s="11" t="str">
        <f t="shared" ref="C2306:C2369" ca="1" si="73">IF($B2306&lt;&gt;"", IF(VLOOKUP(B2306, final_to_ministry_result,2,FALSE)&lt;&gt;"",VLOOKUP(B2306, final_to_ministry_result,2,FALSE),""),"")</f>
        <v/>
      </c>
    </row>
    <row r="2307" spans="2:3" x14ac:dyDescent="0.15">
      <c r="B2307" s="77" t="str">
        <f t="shared" ca="1" si="72"/>
        <v/>
      </c>
      <c r="C2307" s="11" t="str">
        <f t="shared" ca="1" si="73"/>
        <v/>
      </c>
    </row>
    <row r="2308" spans="2:3" x14ac:dyDescent="0.15">
      <c r="B2308" s="77" t="str">
        <f t="shared" ca="1" si="72"/>
        <v/>
      </c>
      <c r="C2308" s="11" t="str">
        <f t="shared" ca="1" si="73"/>
        <v/>
      </c>
    </row>
    <row r="2309" spans="2:3" x14ac:dyDescent="0.15">
      <c r="B2309" s="77" t="str">
        <f t="shared" ca="1" si="72"/>
        <v/>
      </c>
      <c r="C2309" s="11" t="str">
        <f t="shared" ca="1" si="73"/>
        <v/>
      </c>
    </row>
    <row r="2310" spans="2:3" x14ac:dyDescent="0.15">
      <c r="B2310" s="77" t="str">
        <f t="shared" ca="1" si="72"/>
        <v/>
      </c>
      <c r="C2310" s="11" t="str">
        <f t="shared" ca="1" si="73"/>
        <v/>
      </c>
    </row>
    <row r="2311" spans="2:3" x14ac:dyDescent="0.15">
      <c r="B2311" s="77" t="str">
        <f t="shared" ca="1" si="72"/>
        <v/>
      </c>
      <c r="C2311" s="11" t="str">
        <f t="shared" ca="1" si="73"/>
        <v/>
      </c>
    </row>
    <row r="2312" spans="2:3" x14ac:dyDescent="0.15">
      <c r="B2312" s="77" t="str">
        <f t="shared" ca="1" si="72"/>
        <v/>
      </c>
      <c r="C2312" s="11" t="str">
        <f t="shared" ca="1" si="73"/>
        <v/>
      </c>
    </row>
    <row r="2313" spans="2:3" x14ac:dyDescent="0.15">
      <c r="B2313" s="77" t="str">
        <f t="shared" ca="1" si="72"/>
        <v/>
      </c>
      <c r="C2313" s="11" t="str">
        <f t="shared" ca="1" si="73"/>
        <v/>
      </c>
    </row>
    <row r="2314" spans="2:3" x14ac:dyDescent="0.15">
      <c r="B2314" s="77" t="str">
        <f t="shared" ca="1" si="72"/>
        <v/>
      </c>
      <c r="C2314" s="11" t="str">
        <f t="shared" ca="1" si="73"/>
        <v/>
      </c>
    </row>
    <row r="2315" spans="2:3" x14ac:dyDescent="0.15">
      <c r="B2315" s="77" t="str">
        <f t="shared" ca="1" si="72"/>
        <v/>
      </c>
      <c r="C2315" s="11" t="str">
        <f t="shared" ca="1" si="73"/>
        <v/>
      </c>
    </row>
    <row r="2316" spans="2:3" x14ac:dyDescent="0.15">
      <c r="B2316" s="77" t="str">
        <f t="shared" ca="1" si="72"/>
        <v/>
      </c>
      <c r="C2316" s="11" t="str">
        <f t="shared" ca="1" si="73"/>
        <v/>
      </c>
    </row>
    <row r="2317" spans="2:3" x14ac:dyDescent="0.15">
      <c r="B2317" s="77" t="str">
        <f t="shared" ca="1" si="72"/>
        <v/>
      </c>
      <c r="C2317" s="11" t="str">
        <f t="shared" ca="1" si="73"/>
        <v/>
      </c>
    </row>
    <row r="2318" spans="2:3" x14ac:dyDescent="0.15">
      <c r="B2318" s="77" t="str">
        <f t="shared" ca="1" si="72"/>
        <v/>
      </c>
      <c r="C2318" s="11" t="str">
        <f t="shared" ca="1" si="73"/>
        <v/>
      </c>
    </row>
    <row r="2319" spans="2:3" x14ac:dyDescent="0.15">
      <c r="B2319" s="77" t="str">
        <f t="shared" ca="1" si="72"/>
        <v/>
      </c>
      <c r="C2319" s="11" t="str">
        <f t="shared" ca="1" si="73"/>
        <v/>
      </c>
    </row>
    <row r="2320" spans="2:3" x14ac:dyDescent="0.15">
      <c r="B2320" s="77" t="str">
        <f t="shared" ca="1" si="72"/>
        <v/>
      </c>
      <c r="C2320" s="11" t="str">
        <f t="shared" ca="1" si="73"/>
        <v/>
      </c>
    </row>
    <row r="2321" spans="2:3" x14ac:dyDescent="0.15">
      <c r="B2321" s="77" t="str">
        <f t="shared" ca="1" si="72"/>
        <v/>
      </c>
      <c r="C2321" s="11" t="str">
        <f t="shared" ca="1" si="73"/>
        <v/>
      </c>
    </row>
    <row r="2322" spans="2:3" x14ac:dyDescent="0.15">
      <c r="B2322" s="77" t="str">
        <f t="shared" ca="1" si="72"/>
        <v/>
      </c>
      <c r="C2322" s="11" t="str">
        <f t="shared" ca="1" si="73"/>
        <v/>
      </c>
    </row>
    <row r="2323" spans="2:3" x14ac:dyDescent="0.15">
      <c r="B2323" s="77" t="str">
        <f t="shared" ca="1" si="72"/>
        <v/>
      </c>
      <c r="C2323" s="11" t="str">
        <f t="shared" ca="1" si="73"/>
        <v/>
      </c>
    </row>
    <row r="2324" spans="2:3" x14ac:dyDescent="0.15">
      <c r="B2324" s="77" t="str">
        <f t="shared" ca="1" si="72"/>
        <v/>
      </c>
      <c r="C2324" s="11" t="str">
        <f t="shared" ca="1" si="73"/>
        <v/>
      </c>
    </row>
    <row r="2325" spans="2:3" x14ac:dyDescent="0.15">
      <c r="B2325" s="77" t="str">
        <f t="shared" ca="1" si="72"/>
        <v/>
      </c>
      <c r="C2325" s="11" t="str">
        <f t="shared" ca="1" si="73"/>
        <v/>
      </c>
    </row>
    <row r="2326" spans="2:3" x14ac:dyDescent="0.15">
      <c r="B2326" s="77" t="str">
        <f t="shared" ca="1" si="72"/>
        <v/>
      </c>
      <c r="C2326" s="11" t="str">
        <f t="shared" ca="1" si="73"/>
        <v/>
      </c>
    </row>
    <row r="2327" spans="2:3" x14ac:dyDescent="0.15">
      <c r="B2327" s="77" t="str">
        <f t="shared" ca="1" si="72"/>
        <v/>
      </c>
      <c r="C2327" s="11" t="str">
        <f t="shared" ca="1" si="73"/>
        <v/>
      </c>
    </row>
    <row r="2328" spans="2:3" x14ac:dyDescent="0.15">
      <c r="B2328" s="77" t="str">
        <f t="shared" ca="1" si="72"/>
        <v/>
      </c>
      <c r="C2328" s="11" t="str">
        <f t="shared" ca="1" si="73"/>
        <v/>
      </c>
    </row>
    <row r="2329" spans="2:3" x14ac:dyDescent="0.15">
      <c r="B2329" s="77" t="str">
        <f t="shared" ca="1" si="72"/>
        <v/>
      </c>
      <c r="C2329" s="11" t="str">
        <f t="shared" ca="1" si="73"/>
        <v/>
      </c>
    </row>
    <row r="2330" spans="2:3" x14ac:dyDescent="0.15">
      <c r="B2330" s="77" t="str">
        <f t="shared" ca="1" si="72"/>
        <v/>
      </c>
      <c r="C2330" s="11" t="str">
        <f t="shared" ca="1" si="73"/>
        <v/>
      </c>
    </row>
    <row r="2331" spans="2:3" x14ac:dyDescent="0.15">
      <c r="B2331" s="77" t="str">
        <f t="shared" ca="1" si="72"/>
        <v/>
      </c>
      <c r="C2331" s="11" t="str">
        <f t="shared" ca="1" si="73"/>
        <v/>
      </c>
    </row>
    <row r="2332" spans="2:3" x14ac:dyDescent="0.15">
      <c r="B2332" s="77" t="str">
        <f t="shared" ca="1" si="72"/>
        <v/>
      </c>
      <c r="C2332" s="11" t="str">
        <f t="shared" ca="1" si="73"/>
        <v/>
      </c>
    </row>
    <row r="2333" spans="2:3" x14ac:dyDescent="0.15">
      <c r="B2333" s="77" t="str">
        <f t="shared" ca="1" si="72"/>
        <v/>
      </c>
      <c r="C2333" s="11" t="str">
        <f t="shared" ca="1" si="73"/>
        <v/>
      </c>
    </row>
    <row r="2334" spans="2:3" x14ac:dyDescent="0.15">
      <c r="B2334" s="77" t="str">
        <f t="shared" ca="1" si="72"/>
        <v/>
      </c>
      <c r="C2334" s="11" t="str">
        <f t="shared" ca="1" si="73"/>
        <v/>
      </c>
    </row>
    <row r="2335" spans="2:3" x14ac:dyDescent="0.15">
      <c r="B2335" s="77" t="str">
        <f t="shared" ca="1" si="72"/>
        <v/>
      </c>
      <c r="C2335" s="11" t="str">
        <f t="shared" ca="1" si="73"/>
        <v/>
      </c>
    </row>
    <row r="2336" spans="2:3" x14ac:dyDescent="0.15">
      <c r="B2336" s="77" t="str">
        <f t="shared" ca="1" si="72"/>
        <v/>
      </c>
      <c r="C2336" s="11" t="str">
        <f t="shared" ca="1" si="73"/>
        <v/>
      </c>
    </row>
    <row r="2337" spans="2:3" x14ac:dyDescent="0.15">
      <c r="B2337" s="77" t="str">
        <f t="shared" ca="1" si="72"/>
        <v/>
      </c>
      <c r="C2337" s="11" t="str">
        <f t="shared" ca="1" si="73"/>
        <v/>
      </c>
    </row>
    <row r="2338" spans="2:3" x14ac:dyDescent="0.15">
      <c r="B2338" s="77" t="str">
        <f t="shared" ca="1" si="72"/>
        <v/>
      </c>
      <c r="C2338" s="11" t="str">
        <f t="shared" ca="1" si="73"/>
        <v/>
      </c>
    </row>
    <row r="2339" spans="2:3" x14ac:dyDescent="0.15">
      <c r="B2339" s="77" t="str">
        <f t="shared" ca="1" si="72"/>
        <v/>
      </c>
      <c r="C2339" s="11" t="str">
        <f t="shared" ca="1" si="73"/>
        <v/>
      </c>
    </row>
    <row r="2340" spans="2:3" x14ac:dyDescent="0.15">
      <c r="B2340" s="77" t="str">
        <f t="shared" ca="1" si="72"/>
        <v/>
      </c>
      <c r="C2340" s="11" t="str">
        <f t="shared" ca="1" si="73"/>
        <v/>
      </c>
    </row>
    <row r="2341" spans="2:3" x14ac:dyDescent="0.15">
      <c r="B2341" s="77" t="str">
        <f t="shared" ca="1" si="72"/>
        <v/>
      </c>
      <c r="C2341" s="11" t="str">
        <f t="shared" ca="1" si="73"/>
        <v/>
      </c>
    </row>
    <row r="2342" spans="2:3" x14ac:dyDescent="0.15">
      <c r="B2342" s="77" t="str">
        <f t="shared" ca="1" si="72"/>
        <v/>
      </c>
      <c r="C2342" s="11" t="str">
        <f t="shared" ca="1" si="73"/>
        <v/>
      </c>
    </row>
    <row r="2343" spans="2:3" x14ac:dyDescent="0.15">
      <c r="B2343" s="77" t="str">
        <f t="shared" ca="1" si="72"/>
        <v/>
      </c>
      <c r="C2343" s="11" t="str">
        <f t="shared" ca="1" si="73"/>
        <v/>
      </c>
    </row>
    <row r="2344" spans="2:3" x14ac:dyDescent="0.15">
      <c r="B2344" s="77" t="str">
        <f t="shared" ca="1" si="72"/>
        <v/>
      </c>
      <c r="C2344" s="11" t="str">
        <f t="shared" ca="1" si="73"/>
        <v/>
      </c>
    </row>
    <row r="2345" spans="2:3" x14ac:dyDescent="0.15">
      <c r="B2345" s="77" t="str">
        <f t="shared" ca="1" si="72"/>
        <v/>
      </c>
      <c r="C2345" s="11" t="str">
        <f t="shared" ca="1" si="73"/>
        <v/>
      </c>
    </row>
    <row r="2346" spans="2:3" x14ac:dyDescent="0.15">
      <c r="B2346" s="77" t="str">
        <f t="shared" ca="1" si="72"/>
        <v/>
      </c>
      <c r="C2346" s="11" t="str">
        <f t="shared" ca="1" si="73"/>
        <v/>
      </c>
    </row>
    <row r="2347" spans="2:3" x14ac:dyDescent="0.15">
      <c r="B2347" s="77" t="str">
        <f t="shared" ca="1" si="72"/>
        <v/>
      </c>
      <c r="C2347" s="11" t="str">
        <f t="shared" ca="1" si="73"/>
        <v/>
      </c>
    </row>
    <row r="2348" spans="2:3" x14ac:dyDescent="0.15">
      <c r="B2348" s="77" t="str">
        <f t="shared" ca="1" si="72"/>
        <v/>
      </c>
      <c r="C2348" s="11" t="str">
        <f t="shared" ca="1" si="73"/>
        <v/>
      </c>
    </row>
    <row r="2349" spans="2:3" x14ac:dyDescent="0.15">
      <c r="B2349" s="77" t="str">
        <f t="shared" ca="1" si="72"/>
        <v/>
      </c>
      <c r="C2349" s="11" t="str">
        <f t="shared" ca="1" si="73"/>
        <v/>
      </c>
    </row>
    <row r="2350" spans="2:3" x14ac:dyDescent="0.15">
      <c r="B2350" s="77" t="str">
        <f t="shared" ca="1" si="72"/>
        <v/>
      </c>
      <c r="C2350" s="11" t="str">
        <f t="shared" ca="1" si="73"/>
        <v/>
      </c>
    </row>
    <row r="2351" spans="2:3" x14ac:dyDescent="0.15">
      <c r="B2351" s="77" t="str">
        <f t="shared" ca="1" si="72"/>
        <v/>
      </c>
      <c r="C2351" s="11" t="str">
        <f t="shared" ca="1" si="73"/>
        <v/>
      </c>
    </row>
    <row r="2352" spans="2:3" x14ac:dyDescent="0.15">
      <c r="B2352" s="77" t="str">
        <f t="shared" ca="1" si="72"/>
        <v/>
      </c>
      <c r="C2352" s="11" t="str">
        <f t="shared" ca="1" si="73"/>
        <v/>
      </c>
    </row>
    <row r="2353" spans="2:3" x14ac:dyDescent="0.15">
      <c r="B2353" s="77" t="str">
        <f t="shared" ca="1" si="72"/>
        <v/>
      </c>
      <c r="C2353" s="11" t="str">
        <f t="shared" ca="1" si="73"/>
        <v/>
      </c>
    </row>
    <row r="2354" spans="2:3" x14ac:dyDescent="0.15">
      <c r="B2354" s="77" t="str">
        <f t="shared" ca="1" si="72"/>
        <v/>
      </c>
      <c r="C2354" s="11" t="str">
        <f t="shared" ca="1" si="73"/>
        <v/>
      </c>
    </row>
    <row r="2355" spans="2:3" x14ac:dyDescent="0.15">
      <c r="B2355" s="77" t="str">
        <f t="shared" ca="1" si="72"/>
        <v/>
      </c>
      <c r="C2355" s="11" t="str">
        <f t="shared" ca="1" si="73"/>
        <v/>
      </c>
    </row>
    <row r="2356" spans="2:3" x14ac:dyDescent="0.15">
      <c r="B2356" s="77" t="str">
        <f t="shared" ca="1" si="72"/>
        <v/>
      </c>
      <c r="C2356" s="11" t="str">
        <f t="shared" ca="1" si="73"/>
        <v/>
      </c>
    </row>
    <row r="2357" spans="2:3" x14ac:dyDescent="0.15">
      <c r="B2357" s="77" t="str">
        <f t="shared" ca="1" si="72"/>
        <v/>
      </c>
      <c r="C2357" s="11" t="str">
        <f t="shared" ca="1" si="73"/>
        <v/>
      </c>
    </row>
    <row r="2358" spans="2:3" x14ac:dyDescent="0.15">
      <c r="B2358" s="77" t="str">
        <f t="shared" ca="1" si="72"/>
        <v/>
      </c>
      <c r="C2358" s="11" t="str">
        <f t="shared" ca="1" si="73"/>
        <v/>
      </c>
    </row>
    <row r="2359" spans="2:3" x14ac:dyDescent="0.15">
      <c r="B2359" s="77" t="str">
        <f t="shared" ca="1" si="72"/>
        <v/>
      </c>
      <c r="C2359" s="11" t="str">
        <f t="shared" ca="1" si="73"/>
        <v/>
      </c>
    </row>
    <row r="2360" spans="2:3" x14ac:dyDescent="0.15">
      <c r="B2360" s="77" t="str">
        <f t="shared" ca="1" si="72"/>
        <v/>
      </c>
      <c r="C2360" s="11" t="str">
        <f t="shared" ca="1" si="73"/>
        <v/>
      </c>
    </row>
    <row r="2361" spans="2:3" x14ac:dyDescent="0.15">
      <c r="B2361" s="77" t="str">
        <f t="shared" ca="1" si="72"/>
        <v/>
      </c>
      <c r="C2361" s="11" t="str">
        <f t="shared" ca="1" si="73"/>
        <v/>
      </c>
    </row>
    <row r="2362" spans="2:3" x14ac:dyDescent="0.15">
      <c r="B2362" s="77" t="str">
        <f t="shared" ca="1" si="72"/>
        <v/>
      </c>
      <c r="C2362" s="11" t="str">
        <f t="shared" ca="1" si="73"/>
        <v/>
      </c>
    </row>
    <row r="2363" spans="2:3" x14ac:dyDescent="0.15">
      <c r="B2363" s="77" t="str">
        <f t="shared" ca="1" si="72"/>
        <v/>
      </c>
      <c r="C2363" s="11" t="str">
        <f t="shared" ca="1" si="73"/>
        <v/>
      </c>
    </row>
    <row r="2364" spans="2:3" x14ac:dyDescent="0.15">
      <c r="B2364" s="77" t="str">
        <f t="shared" ca="1" si="72"/>
        <v/>
      </c>
      <c r="C2364" s="11" t="str">
        <f t="shared" ca="1" si="73"/>
        <v/>
      </c>
    </row>
    <row r="2365" spans="2:3" x14ac:dyDescent="0.15">
      <c r="B2365" s="77" t="str">
        <f t="shared" ca="1" si="72"/>
        <v/>
      </c>
      <c r="C2365" s="11" t="str">
        <f t="shared" ca="1" si="73"/>
        <v/>
      </c>
    </row>
    <row r="2366" spans="2:3" x14ac:dyDescent="0.15">
      <c r="B2366" s="77" t="str">
        <f t="shared" ca="1" si="72"/>
        <v/>
      </c>
      <c r="C2366" s="11" t="str">
        <f t="shared" ca="1" si="73"/>
        <v/>
      </c>
    </row>
    <row r="2367" spans="2:3" x14ac:dyDescent="0.15">
      <c r="B2367" s="77" t="str">
        <f t="shared" ca="1" si="72"/>
        <v/>
      </c>
      <c r="C2367" s="11" t="str">
        <f t="shared" ca="1" si="73"/>
        <v/>
      </c>
    </row>
    <row r="2368" spans="2:3" x14ac:dyDescent="0.15">
      <c r="B2368" s="77" t="str">
        <f t="shared" ca="1" si="72"/>
        <v/>
      </c>
      <c r="C2368" s="11" t="str">
        <f t="shared" ca="1" si="73"/>
        <v/>
      </c>
    </row>
    <row r="2369" spans="2:3" x14ac:dyDescent="0.15">
      <c r="B2369" s="77" t="str">
        <f t="shared" ca="1" si="72"/>
        <v/>
      </c>
      <c r="C2369" s="11" t="str">
        <f t="shared" ca="1" si="73"/>
        <v/>
      </c>
    </row>
    <row r="2370" spans="2:3" x14ac:dyDescent="0.15">
      <c r="B2370" s="77" t="str">
        <f t="shared" ref="B2370:B2433" ca="1" si="74">IFERROR(VLOOKUP(TEXT(A2370,"00000000"),analysis_table_by_barcode,15,FALSE),"")</f>
        <v/>
      </c>
      <c r="C2370" s="11" t="str">
        <f t="shared" ref="C2370:C2433" ca="1" si="75">IF($B2370&lt;&gt;"", IF(VLOOKUP(B2370, final_to_ministry_result,2,FALSE)&lt;&gt;"",VLOOKUP(B2370, final_to_ministry_result,2,FALSE),""),"")</f>
        <v/>
      </c>
    </row>
    <row r="2371" spans="2:3" x14ac:dyDescent="0.15">
      <c r="B2371" s="77" t="str">
        <f t="shared" ca="1" si="74"/>
        <v/>
      </c>
      <c r="C2371" s="11" t="str">
        <f t="shared" ca="1" si="75"/>
        <v/>
      </c>
    </row>
    <row r="2372" spans="2:3" x14ac:dyDescent="0.15">
      <c r="B2372" s="77" t="str">
        <f t="shared" ca="1" si="74"/>
        <v/>
      </c>
      <c r="C2372" s="11" t="str">
        <f t="shared" ca="1" si="75"/>
        <v/>
      </c>
    </row>
    <row r="2373" spans="2:3" x14ac:dyDescent="0.15">
      <c r="B2373" s="77" t="str">
        <f t="shared" ca="1" si="74"/>
        <v/>
      </c>
      <c r="C2373" s="11" t="str">
        <f t="shared" ca="1" si="75"/>
        <v/>
      </c>
    </row>
    <row r="2374" spans="2:3" x14ac:dyDescent="0.15">
      <c r="B2374" s="77" t="str">
        <f t="shared" ca="1" si="74"/>
        <v/>
      </c>
      <c r="C2374" s="11" t="str">
        <f t="shared" ca="1" si="75"/>
        <v/>
      </c>
    </row>
    <row r="2375" spans="2:3" x14ac:dyDescent="0.15">
      <c r="B2375" s="77" t="str">
        <f t="shared" ca="1" si="74"/>
        <v/>
      </c>
      <c r="C2375" s="11" t="str">
        <f t="shared" ca="1" si="75"/>
        <v/>
      </c>
    </row>
    <row r="2376" spans="2:3" x14ac:dyDescent="0.15">
      <c r="B2376" s="77" t="str">
        <f t="shared" ca="1" si="74"/>
        <v/>
      </c>
      <c r="C2376" s="11" t="str">
        <f t="shared" ca="1" si="75"/>
        <v/>
      </c>
    </row>
    <row r="2377" spans="2:3" x14ac:dyDescent="0.15">
      <c r="B2377" s="77" t="str">
        <f t="shared" ca="1" si="74"/>
        <v/>
      </c>
      <c r="C2377" s="11" t="str">
        <f t="shared" ca="1" si="75"/>
        <v/>
      </c>
    </row>
    <row r="2378" spans="2:3" x14ac:dyDescent="0.15">
      <c r="B2378" s="77" t="str">
        <f t="shared" ca="1" si="74"/>
        <v/>
      </c>
      <c r="C2378" s="11" t="str">
        <f t="shared" ca="1" si="75"/>
        <v/>
      </c>
    </row>
    <row r="2379" spans="2:3" x14ac:dyDescent="0.15">
      <c r="B2379" s="77" t="str">
        <f t="shared" ca="1" si="74"/>
        <v/>
      </c>
      <c r="C2379" s="11" t="str">
        <f t="shared" ca="1" si="75"/>
        <v/>
      </c>
    </row>
    <row r="2380" spans="2:3" x14ac:dyDescent="0.15">
      <c r="B2380" s="77" t="str">
        <f t="shared" ca="1" si="74"/>
        <v/>
      </c>
      <c r="C2380" s="11" t="str">
        <f t="shared" ca="1" si="75"/>
        <v/>
      </c>
    </row>
    <row r="2381" spans="2:3" x14ac:dyDescent="0.15">
      <c r="B2381" s="77" t="str">
        <f t="shared" ca="1" si="74"/>
        <v/>
      </c>
      <c r="C2381" s="11" t="str">
        <f t="shared" ca="1" si="75"/>
        <v/>
      </c>
    </row>
    <row r="2382" spans="2:3" x14ac:dyDescent="0.15">
      <c r="B2382" s="77" t="str">
        <f t="shared" ca="1" si="74"/>
        <v/>
      </c>
      <c r="C2382" s="11" t="str">
        <f t="shared" ca="1" si="75"/>
        <v/>
      </c>
    </row>
    <row r="2383" spans="2:3" x14ac:dyDescent="0.15">
      <c r="B2383" s="77" t="str">
        <f t="shared" ca="1" si="74"/>
        <v/>
      </c>
      <c r="C2383" s="11" t="str">
        <f t="shared" ca="1" si="75"/>
        <v/>
      </c>
    </row>
    <row r="2384" spans="2:3" x14ac:dyDescent="0.15">
      <c r="B2384" s="77" t="str">
        <f t="shared" ca="1" si="74"/>
        <v/>
      </c>
      <c r="C2384" s="11" t="str">
        <f t="shared" ca="1" si="75"/>
        <v/>
      </c>
    </row>
    <row r="2385" spans="2:3" x14ac:dyDescent="0.15">
      <c r="B2385" s="77" t="str">
        <f t="shared" ca="1" si="74"/>
        <v/>
      </c>
      <c r="C2385" s="11" t="str">
        <f t="shared" ca="1" si="75"/>
        <v/>
      </c>
    </row>
    <row r="2386" spans="2:3" x14ac:dyDescent="0.15">
      <c r="B2386" s="77" t="str">
        <f t="shared" ca="1" si="74"/>
        <v/>
      </c>
      <c r="C2386" s="11" t="str">
        <f t="shared" ca="1" si="75"/>
        <v/>
      </c>
    </row>
    <row r="2387" spans="2:3" x14ac:dyDescent="0.15">
      <c r="B2387" s="77" t="str">
        <f t="shared" ca="1" si="74"/>
        <v/>
      </c>
      <c r="C2387" s="11" t="str">
        <f t="shared" ca="1" si="75"/>
        <v/>
      </c>
    </row>
    <row r="2388" spans="2:3" x14ac:dyDescent="0.15">
      <c r="B2388" s="77" t="str">
        <f t="shared" ca="1" si="74"/>
        <v/>
      </c>
      <c r="C2388" s="11" t="str">
        <f t="shared" ca="1" si="75"/>
        <v/>
      </c>
    </row>
    <row r="2389" spans="2:3" x14ac:dyDescent="0.15">
      <c r="B2389" s="77" t="str">
        <f t="shared" ca="1" si="74"/>
        <v/>
      </c>
      <c r="C2389" s="11" t="str">
        <f t="shared" ca="1" si="75"/>
        <v/>
      </c>
    </row>
    <row r="2390" spans="2:3" x14ac:dyDescent="0.15">
      <c r="B2390" s="77" t="str">
        <f t="shared" ca="1" si="74"/>
        <v/>
      </c>
      <c r="C2390" s="11" t="str">
        <f t="shared" ca="1" si="75"/>
        <v/>
      </c>
    </row>
    <row r="2391" spans="2:3" x14ac:dyDescent="0.15">
      <c r="B2391" s="77" t="str">
        <f t="shared" ca="1" si="74"/>
        <v/>
      </c>
      <c r="C2391" s="11" t="str">
        <f t="shared" ca="1" si="75"/>
        <v/>
      </c>
    </row>
    <row r="2392" spans="2:3" x14ac:dyDescent="0.15">
      <c r="B2392" s="77" t="str">
        <f t="shared" ca="1" si="74"/>
        <v/>
      </c>
      <c r="C2392" s="11" t="str">
        <f t="shared" ca="1" si="75"/>
        <v/>
      </c>
    </row>
    <row r="2393" spans="2:3" x14ac:dyDescent="0.15">
      <c r="B2393" s="77" t="str">
        <f t="shared" ca="1" si="74"/>
        <v/>
      </c>
      <c r="C2393" s="11" t="str">
        <f t="shared" ca="1" si="75"/>
        <v/>
      </c>
    </row>
    <row r="2394" spans="2:3" x14ac:dyDescent="0.15">
      <c r="B2394" s="77" t="str">
        <f t="shared" ca="1" si="74"/>
        <v/>
      </c>
      <c r="C2394" s="11" t="str">
        <f t="shared" ca="1" si="75"/>
        <v/>
      </c>
    </row>
    <row r="2395" spans="2:3" x14ac:dyDescent="0.15">
      <c r="B2395" s="77" t="str">
        <f t="shared" ca="1" si="74"/>
        <v/>
      </c>
      <c r="C2395" s="11" t="str">
        <f t="shared" ca="1" si="75"/>
        <v/>
      </c>
    </row>
    <row r="2396" spans="2:3" x14ac:dyDescent="0.15">
      <c r="B2396" s="77" t="str">
        <f t="shared" ca="1" si="74"/>
        <v/>
      </c>
      <c r="C2396" s="11" t="str">
        <f t="shared" ca="1" si="75"/>
        <v/>
      </c>
    </row>
    <row r="2397" spans="2:3" x14ac:dyDescent="0.15">
      <c r="B2397" s="77" t="str">
        <f t="shared" ca="1" si="74"/>
        <v/>
      </c>
      <c r="C2397" s="11" t="str">
        <f t="shared" ca="1" si="75"/>
        <v/>
      </c>
    </row>
    <row r="2398" spans="2:3" x14ac:dyDescent="0.15">
      <c r="B2398" s="77" t="str">
        <f t="shared" ca="1" si="74"/>
        <v/>
      </c>
      <c r="C2398" s="11" t="str">
        <f t="shared" ca="1" si="75"/>
        <v/>
      </c>
    </row>
    <row r="2399" spans="2:3" x14ac:dyDescent="0.15">
      <c r="B2399" s="77" t="str">
        <f t="shared" ca="1" si="74"/>
        <v/>
      </c>
      <c r="C2399" s="11" t="str">
        <f t="shared" ca="1" si="75"/>
        <v/>
      </c>
    </row>
    <row r="2400" spans="2:3" x14ac:dyDescent="0.15">
      <c r="B2400" s="77" t="str">
        <f t="shared" ca="1" si="74"/>
        <v/>
      </c>
      <c r="C2400" s="11" t="str">
        <f t="shared" ca="1" si="75"/>
        <v/>
      </c>
    </row>
    <row r="2401" spans="2:3" x14ac:dyDescent="0.15">
      <c r="B2401" s="77" t="str">
        <f t="shared" ca="1" si="74"/>
        <v/>
      </c>
      <c r="C2401" s="11" t="str">
        <f t="shared" ca="1" si="75"/>
        <v/>
      </c>
    </row>
    <row r="2402" spans="2:3" x14ac:dyDescent="0.15">
      <c r="B2402" s="77" t="str">
        <f t="shared" ca="1" si="74"/>
        <v/>
      </c>
      <c r="C2402" s="11" t="str">
        <f t="shared" ca="1" si="75"/>
        <v/>
      </c>
    </row>
    <row r="2403" spans="2:3" x14ac:dyDescent="0.15">
      <c r="B2403" s="77" t="str">
        <f t="shared" ca="1" si="74"/>
        <v/>
      </c>
      <c r="C2403" s="11" t="str">
        <f t="shared" ca="1" si="75"/>
        <v/>
      </c>
    </row>
    <row r="2404" spans="2:3" x14ac:dyDescent="0.15">
      <c r="B2404" s="77" t="str">
        <f t="shared" ca="1" si="74"/>
        <v/>
      </c>
      <c r="C2404" s="11" t="str">
        <f t="shared" ca="1" si="75"/>
        <v/>
      </c>
    </row>
    <row r="2405" spans="2:3" x14ac:dyDescent="0.15">
      <c r="B2405" s="77" t="str">
        <f t="shared" ca="1" si="74"/>
        <v/>
      </c>
      <c r="C2405" s="11" t="str">
        <f t="shared" ca="1" si="75"/>
        <v/>
      </c>
    </row>
    <row r="2406" spans="2:3" x14ac:dyDescent="0.15">
      <c r="B2406" s="77" t="str">
        <f t="shared" ca="1" si="74"/>
        <v/>
      </c>
      <c r="C2406" s="11" t="str">
        <f t="shared" ca="1" si="75"/>
        <v/>
      </c>
    </row>
    <row r="2407" spans="2:3" x14ac:dyDescent="0.15">
      <c r="B2407" s="77" t="str">
        <f t="shared" ca="1" si="74"/>
        <v/>
      </c>
      <c r="C2407" s="11" t="str">
        <f t="shared" ca="1" si="75"/>
        <v/>
      </c>
    </row>
    <row r="2408" spans="2:3" x14ac:dyDescent="0.15">
      <c r="B2408" s="77" t="str">
        <f t="shared" ca="1" si="74"/>
        <v/>
      </c>
      <c r="C2408" s="11" t="str">
        <f t="shared" ca="1" si="75"/>
        <v/>
      </c>
    </row>
    <row r="2409" spans="2:3" x14ac:dyDescent="0.15">
      <c r="B2409" s="77" t="str">
        <f t="shared" ca="1" si="74"/>
        <v/>
      </c>
      <c r="C2409" s="11" t="str">
        <f t="shared" ca="1" si="75"/>
        <v/>
      </c>
    </row>
    <row r="2410" spans="2:3" x14ac:dyDescent="0.15">
      <c r="B2410" s="77" t="str">
        <f t="shared" ca="1" si="74"/>
        <v/>
      </c>
      <c r="C2410" s="11" t="str">
        <f t="shared" ca="1" si="75"/>
        <v/>
      </c>
    </row>
    <row r="2411" spans="2:3" x14ac:dyDescent="0.15">
      <c r="B2411" s="77" t="str">
        <f t="shared" ca="1" si="74"/>
        <v/>
      </c>
      <c r="C2411" s="11" t="str">
        <f t="shared" ca="1" si="75"/>
        <v/>
      </c>
    </row>
    <row r="2412" spans="2:3" x14ac:dyDescent="0.15">
      <c r="B2412" s="77" t="str">
        <f t="shared" ca="1" si="74"/>
        <v/>
      </c>
      <c r="C2412" s="11" t="str">
        <f t="shared" ca="1" si="75"/>
        <v/>
      </c>
    </row>
    <row r="2413" spans="2:3" x14ac:dyDescent="0.15">
      <c r="B2413" s="77" t="str">
        <f t="shared" ca="1" si="74"/>
        <v/>
      </c>
      <c r="C2413" s="11" t="str">
        <f t="shared" ca="1" si="75"/>
        <v/>
      </c>
    </row>
    <row r="2414" spans="2:3" x14ac:dyDescent="0.15">
      <c r="B2414" s="77" t="str">
        <f t="shared" ca="1" si="74"/>
        <v/>
      </c>
      <c r="C2414" s="11" t="str">
        <f t="shared" ca="1" si="75"/>
        <v/>
      </c>
    </row>
    <row r="2415" spans="2:3" x14ac:dyDescent="0.15">
      <c r="B2415" s="77" t="str">
        <f t="shared" ca="1" si="74"/>
        <v/>
      </c>
      <c r="C2415" s="11" t="str">
        <f t="shared" ca="1" si="75"/>
        <v/>
      </c>
    </row>
    <row r="2416" spans="2:3" x14ac:dyDescent="0.15">
      <c r="B2416" s="77" t="str">
        <f t="shared" ca="1" si="74"/>
        <v/>
      </c>
      <c r="C2416" s="11" t="str">
        <f t="shared" ca="1" si="75"/>
        <v/>
      </c>
    </row>
    <row r="2417" spans="2:3" x14ac:dyDescent="0.15">
      <c r="B2417" s="77" t="str">
        <f t="shared" ca="1" si="74"/>
        <v/>
      </c>
      <c r="C2417" s="11" t="str">
        <f t="shared" ca="1" si="75"/>
        <v/>
      </c>
    </row>
    <row r="2418" spans="2:3" x14ac:dyDescent="0.15">
      <c r="B2418" s="77" t="str">
        <f t="shared" ca="1" si="74"/>
        <v/>
      </c>
      <c r="C2418" s="11" t="str">
        <f t="shared" ca="1" si="75"/>
        <v/>
      </c>
    </row>
    <row r="2419" spans="2:3" x14ac:dyDescent="0.15">
      <c r="B2419" s="77" t="str">
        <f t="shared" ca="1" si="74"/>
        <v/>
      </c>
      <c r="C2419" s="11" t="str">
        <f t="shared" ca="1" si="75"/>
        <v/>
      </c>
    </row>
    <row r="2420" spans="2:3" x14ac:dyDescent="0.15">
      <c r="B2420" s="77" t="str">
        <f t="shared" ca="1" si="74"/>
        <v/>
      </c>
      <c r="C2420" s="11" t="str">
        <f t="shared" ca="1" si="75"/>
        <v/>
      </c>
    </row>
    <row r="2421" spans="2:3" x14ac:dyDescent="0.15">
      <c r="B2421" s="77" t="str">
        <f t="shared" ca="1" si="74"/>
        <v/>
      </c>
      <c r="C2421" s="11" t="str">
        <f t="shared" ca="1" si="75"/>
        <v/>
      </c>
    </row>
    <row r="2422" spans="2:3" x14ac:dyDescent="0.15">
      <c r="B2422" s="77" t="str">
        <f t="shared" ca="1" si="74"/>
        <v/>
      </c>
      <c r="C2422" s="11" t="str">
        <f t="shared" ca="1" si="75"/>
        <v/>
      </c>
    </row>
    <row r="2423" spans="2:3" x14ac:dyDescent="0.15">
      <c r="B2423" s="77" t="str">
        <f t="shared" ca="1" si="74"/>
        <v/>
      </c>
      <c r="C2423" s="11" t="str">
        <f t="shared" ca="1" si="75"/>
        <v/>
      </c>
    </row>
    <row r="2424" spans="2:3" x14ac:dyDescent="0.15">
      <c r="B2424" s="77" t="str">
        <f t="shared" ca="1" si="74"/>
        <v/>
      </c>
      <c r="C2424" s="11" t="str">
        <f t="shared" ca="1" si="75"/>
        <v/>
      </c>
    </row>
    <row r="2425" spans="2:3" x14ac:dyDescent="0.15">
      <c r="B2425" s="77" t="str">
        <f t="shared" ca="1" si="74"/>
        <v/>
      </c>
      <c r="C2425" s="11" t="str">
        <f t="shared" ca="1" si="75"/>
        <v/>
      </c>
    </row>
    <row r="2426" spans="2:3" x14ac:dyDescent="0.15">
      <c r="B2426" s="77" t="str">
        <f t="shared" ca="1" si="74"/>
        <v/>
      </c>
      <c r="C2426" s="11" t="str">
        <f t="shared" ca="1" si="75"/>
        <v/>
      </c>
    </row>
    <row r="2427" spans="2:3" x14ac:dyDescent="0.15">
      <c r="B2427" s="77" t="str">
        <f t="shared" ca="1" si="74"/>
        <v/>
      </c>
      <c r="C2427" s="11" t="str">
        <f t="shared" ca="1" si="75"/>
        <v/>
      </c>
    </row>
    <row r="2428" spans="2:3" x14ac:dyDescent="0.15">
      <c r="B2428" s="77" t="str">
        <f t="shared" ca="1" si="74"/>
        <v/>
      </c>
      <c r="C2428" s="11" t="str">
        <f t="shared" ca="1" si="75"/>
        <v/>
      </c>
    </row>
    <row r="2429" spans="2:3" x14ac:dyDescent="0.15">
      <c r="B2429" s="77" t="str">
        <f t="shared" ca="1" si="74"/>
        <v/>
      </c>
      <c r="C2429" s="11" t="str">
        <f t="shared" ca="1" si="75"/>
        <v/>
      </c>
    </row>
    <row r="2430" spans="2:3" x14ac:dyDescent="0.15">
      <c r="B2430" s="77" t="str">
        <f t="shared" ca="1" si="74"/>
        <v/>
      </c>
      <c r="C2430" s="11" t="str">
        <f t="shared" ca="1" si="75"/>
        <v/>
      </c>
    </row>
    <row r="2431" spans="2:3" x14ac:dyDescent="0.15">
      <c r="B2431" s="77" t="str">
        <f t="shared" ca="1" si="74"/>
        <v/>
      </c>
      <c r="C2431" s="11" t="str">
        <f t="shared" ca="1" si="75"/>
        <v/>
      </c>
    </row>
    <row r="2432" spans="2:3" x14ac:dyDescent="0.15">
      <c r="B2432" s="77" t="str">
        <f t="shared" ca="1" si="74"/>
        <v/>
      </c>
      <c r="C2432" s="11" t="str">
        <f t="shared" ca="1" si="75"/>
        <v/>
      </c>
    </row>
    <row r="2433" spans="2:3" x14ac:dyDescent="0.15">
      <c r="B2433" s="77" t="str">
        <f t="shared" ca="1" si="74"/>
        <v/>
      </c>
      <c r="C2433" s="11" t="str">
        <f t="shared" ca="1" si="75"/>
        <v/>
      </c>
    </row>
    <row r="2434" spans="2:3" x14ac:dyDescent="0.15">
      <c r="B2434" s="77" t="str">
        <f t="shared" ref="B2434:B2497" ca="1" si="76">IFERROR(VLOOKUP(TEXT(A2434,"00000000"),analysis_table_by_barcode,15,FALSE),"")</f>
        <v/>
      </c>
      <c r="C2434" s="11" t="str">
        <f t="shared" ref="C2434:C2497" ca="1" si="77">IF($B2434&lt;&gt;"", IF(VLOOKUP(B2434, final_to_ministry_result,2,FALSE)&lt;&gt;"",VLOOKUP(B2434, final_to_ministry_result,2,FALSE),""),"")</f>
        <v/>
      </c>
    </row>
    <row r="2435" spans="2:3" x14ac:dyDescent="0.15">
      <c r="B2435" s="77" t="str">
        <f t="shared" ca="1" si="76"/>
        <v/>
      </c>
      <c r="C2435" s="11" t="str">
        <f t="shared" ca="1" si="77"/>
        <v/>
      </c>
    </row>
    <row r="2436" spans="2:3" x14ac:dyDescent="0.15">
      <c r="B2436" s="77" t="str">
        <f t="shared" ca="1" si="76"/>
        <v/>
      </c>
      <c r="C2436" s="11" t="str">
        <f t="shared" ca="1" si="77"/>
        <v/>
      </c>
    </row>
    <row r="2437" spans="2:3" x14ac:dyDescent="0.15">
      <c r="B2437" s="77" t="str">
        <f t="shared" ca="1" si="76"/>
        <v/>
      </c>
      <c r="C2437" s="11" t="str">
        <f t="shared" ca="1" si="77"/>
        <v/>
      </c>
    </row>
    <row r="2438" spans="2:3" x14ac:dyDescent="0.15">
      <c r="B2438" s="77" t="str">
        <f t="shared" ca="1" si="76"/>
        <v/>
      </c>
      <c r="C2438" s="11" t="str">
        <f t="shared" ca="1" si="77"/>
        <v/>
      </c>
    </row>
    <row r="2439" spans="2:3" x14ac:dyDescent="0.15">
      <c r="B2439" s="77" t="str">
        <f t="shared" ca="1" si="76"/>
        <v/>
      </c>
      <c r="C2439" s="11" t="str">
        <f t="shared" ca="1" si="77"/>
        <v/>
      </c>
    </row>
    <row r="2440" spans="2:3" x14ac:dyDescent="0.15">
      <c r="B2440" s="77" t="str">
        <f t="shared" ca="1" si="76"/>
        <v/>
      </c>
      <c r="C2440" s="11" t="str">
        <f t="shared" ca="1" si="77"/>
        <v/>
      </c>
    </row>
    <row r="2441" spans="2:3" x14ac:dyDescent="0.15">
      <c r="B2441" s="77" t="str">
        <f t="shared" ca="1" si="76"/>
        <v/>
      </c>
      <c r="C2441" s="11" t="str">
        <f t="shared" ca="1" si="77"/>
        <v/>
      </c>
    </row>
    <row r="2442" spans="2:3" x14ac:dyDescent="0.15">
      <c r="B2442" s="77" t="str">
        <f t="shared" ca="1" si="76"/>
        <v/>
      </c>
      <c r="C2442" s="11" t="str">
        <f t="shared" ca="1" si="77"/>
        <v/>
      </c>
    </row>
    <row r="2443" spans="2:3" x14ac:dyDescent="0.15">
      <c r="B2443" s="77" t="str">
        <f t="shared" ca="1" si="76"/>
        <v/>
      </c>
      <c r="C2443" s="11" t="str">
        <f t="shared" ca="1" si="77"/>
        <v/>
      </c>
    </row>
    <row r="2444" spans="2:3" x14ac:dyDescent="0.15">
      <c r="B2444" s="77" t="str">
        <f t="shared" ca="1" si="76"/>
        <v/>
      </c>
      <c r="C2444" s="11" t="str">
        <f t="shared" ca="1" si="77"/>
        <v/>
      </c>
    </row>
    <row r="2445" spans="2:3" x14ac:dyDescent="0.15">
      <c r="B2445" s="77" t="str">
        <f t="shared" ca="1" si="76"/>
        <v/>
      </c>
      <c r="C2445" s="11" t="str">
        <f t="shared" ca="1" si="77"/>
        <v/>
      </c>
    </row>
    <row r="2446" spans="2:3" x14ac:dyDescent="0.15">
      <c r="B2446" s="77" t="str">
        <f t="shared" ca="1" si="76"/>
        <v/>
      </c>
      <c r="C2446" s="11" t="str">
        <f t="shared" ca="1" si="77"/>
        <v/>
      </c>
    </row>
    <row r="2447" spans="2:3" x14ac:dyDescent="0.15">
      <c r="B2447" s="77" t="str">
        <f t="shared" ca="1" si="76"/>
        <v/>
      </c>
      <c r="C2447" s="11" t="str">
        <f t="shared" ca="1" si="77"/>
        <v/>
      </c>
    </row>
    <row r="2448" spans="2:3" x14ac:dyDescent="0.15">
      <c r="B2448" s="77" t="str">
        <f t="shared" ca="1" si="76"/>
        <v/>
      </c>
      <c r="C2448" s="11" t="str">
        <f t="shared" ca="1" si="77"/>
        <v/>
      </c>
    </row>
    <row r="2449" spans="2:3" x14ac:dyDescent="0.15">
      <c r="B2449" s="77" t="str">
        <f t="shared" ca="1" si="76"/>
        <v/>
      </c>
      <c r="C2449" s="11" t="str">
        <f t="shared" ca="1" si="77"/>
        <v/>
      </c>
    </row>
    <row r="2450" spans="2:3" x14ac:dyDescent="0.15">
      <c r="B2450" s="77" t="str">
        <f t="shared" ca="1" si="76"/>
        <v/>
      </c>
      <c r="C2450" s="11" t="str">
        <f t="shared" ca="1" si="77"/>
        <v/>
      </c>
    </row>
    <row r="2451" spans="2:3" x14ac:dyDescent="0.15">
      <c r="B2451" s="77" t="str">
        <f t="shared" ca="1" si="76"/>
        <v/>
      </c>
      <c r="C2451" s="11" t="str">
        <f t="shared" ca="1" si="77"/>
        <v/>
      </c>
    </row>
    <row r="2452" spans="2:3" x14ac:dyDescent="0.15">
      <c r="B2452" s="77" t="str">
        <f t="shared" ca="1" si="76"/>
        <v/>
      </c>
      <c r="C2452" s="11" t="str">
        <f t="shared" ca="1" si="77"/>
        <v/>
      </c>
    </row>
    <row r="2453" spans="2:3" x14ac:dyDescent="0.15">
      <c r="B2453" s="77" t="str">
        <f t="shared" ca="1" si="76"/>
        <v/>
      </c>
      <c r="C2453" s="11" t="str">
        <f t="shared" ca="1" si="77"/>
        <v/>
      </c>
    </row>
    <row r="2454" spans="2:3" x14ac:dyDescent="0.15">
      <c r="B2454" s="77" t="str">
        <f t="shared" ca="1" si="76"/>
        <v/>
      </c>
      <c r="C2454" s="11" t="str">
        <f t="shared" ca="1" si="77"/>
        <v/>
      </c>
    </row>
    <row r="2455" spans="2:3" x14ac:dyDescent="0.15">
      <c r="B2455" s="77" t="str">
        <f t="shared" ca="1" si="76"/>
        <v/>
      </c>
      <c r="C2455" s="11" t="str">
        <f t="shared" ca="1" si="77"/>
        <v/>
      </c>
    </row>
    <row r="2456" spans="2:3" x14ac:dyDescent="0.15">
      <c r="B2456" s="77" t="str">
        <f t="shared" ca="1" si="76"/>
        <v/>
      </c>
      <c r="C2456" s="11" t="str">
        <f t="shared" ca="1" si="77"/>
        <v/>
      </c>
    </row>
    <row r="2457" spans="2:3" x14ac:dyDescent="0.15">
      <c r="B2457" s="77" t="str">
        <f t="shared" ca="1" si="76"/>
        <v/>
      </c>
      <c r="C2457" s="11" t="str">
        <f t="shared" ca="1" si="77"/>
        <v/>
      </c>
    </row>
    <row r="2458" spans="2:3" x14ac:dyDescent="0.15">
      <c r="B2458" s="77" t="str">
        <f t="shared" ca="1" si="76"/>
        <v/>
      </c>
      <c r="C2458" s="11" t="str">
        <f t="shared" ca="1" si="77"/>
        <v/>
      </c>
    </row>
    <row r="2459" spans="2:3" x14ac:dyDescent="0.15">
      <c r="B2459" s="77" t="str">
        <f t="shared" ca="1" si="76"/>
        <v/>
      </c>
      <c r="C2459" s="11" t="str">
        <f t="shared" ca="1" si="77"/>
        <v/>
      </c>
    </row>
    <row r="2460" spans="2:3" x14ac:dyDescent="0.15">
      <c r="B2460" s="77" t="str">
        <f t="shared" ca="1" si="76"/>
        <v/>
      </c>
      <c r="C2460" s="11" t="str">
        <f t="shared" ca="1" si="77"/>
        <v/>
      </c>
    </row>
    <row r="2461" spans="2:3" x14ac:dyDescent="0.15">
      <c r="B2461" s="77" t="str">
        <f t="shared" ca="1" si="76"/>
        <v/>
      </c>
      <c r="C2461" s="11" t="str">
        <f t="shared" ca="1" si="77"/>
        <v/>
      </c>
    </row>
    <row r="2462" spans="2:3" x14ac:dyDescent="0.15">
      <c r="B2462" s="77" t="str">
        <f t="shared" ca="1" si="76"/>
        <v/>
      </c>
      <c r="C2462" s="11" t="str">
        <f t="shared" ca="1" si="77"/>
        <v/>
      </c>
    </row>
    <row r="2463" spans="2:3" x14ac:dyDescent="0.15">
      <c r="B2463" s="77" t="str">
        <f t="shared" ca="1" si="76"/>
        <v/>
      </c>
      <c r="C2463" s="11" t="str">
        <f t="shared" ca="1" si="77"/>
        <v/>
      </c>
    </row>
    <row r="2464" spans="2:3" x14ac:dyDescent="0.15">
      <c r="B2464" s="77" t="str">
        <f t="shared" ca="1" si="76"/>
        <v/>
      </c>
      <c r="C2464" s="11" t="str">
        <f t="shared" ca="1" si="77"/>
        <v/>
      </c>
    </row>
    <row r="2465" spans="2:3" x14ac:dyDescent="0.15">
      <c r="B2465" s="77" t="str">
        <f t="shared" ca="1" si="76"/>
        <v/>
      </c>
      <c r="C2465" s="11" t="str">
        <f t="shared" ca="1" si="77"/>
        <v/>
      </c>
    </row>
    <row r="2466" spans="2:3" x14ac:dyDescent="0.15">
      <c r="B2466" s="77" t="str">
        <f t="shared" ca="1" si="76"/>
        <v/>
      </c>
      <c r="C2466" s="11" t="str">
        <f t="shared" ca="1" si="77"/>
        <v/>
      </c>
    </row>
    <row r="2467" spans="2:3" x14ac:dyDescent="0.15">
      <c r="B2467" s="77" t="str">
        <f t="shared" ca="1" si="76"/>
        <v/>
      </c>
      <c r="C2467" s="11" t="str">
        <f t="shared" ca="1" si="77"/>
        <v/>
      </c>
    </row>
    <row r="2468" spans="2:3" x14ac:dyDescent="0.15">
      <c r="B2468" s="77" t="str">
        <f t="shared" ca="1" si="76"/>
        <v/>
      </c>
      <c r="C2468" s="11" t="str">
        <f t="shared" ca="1" si="77"/>
        <v/>
      </c>
    </row>
    <row r="2469" spans="2:3" x14ac:dyDescent="0.15">
      <c r="B2469" s="77" t="str">
        <f t="shared" ca="1" si="76"/>
        <v/>
      </c>
      <c r="C2469" s="11" t="str">
        <f t="shared" ca="1" si="77"/>
        <v/>
      </c>
    </row>
    <row r="2470" spans="2:3" x14ac:dyDescent="0.15">
      <c r="B2470" s="77" t="str">
        <f t="shared" ca="1" si="76"/>
        <v/>
      </c>
      <c r="C2470" s="11" t="str">
        <f t="shared" ca="1" si="77"/>
        <v/>
      </c>
    </row>
    <row r="2471" spans="2:3" x14ac:dyDescent="0.15">
      <c r="B2471" s="77" t="str">
        <f t="shared" ca="1" si="76"/>
        <v/>
      </c>
      <c r="C2471" s="11" t="str">
        <f t="shared" ca="1" si="77"/>
        <v/>
      </c>
    </row>
    <row r="2472" spans="2:3" x14ac:dyDescent="0.15">
      <c r="B2472" s="77" t="str">
        <f t="shared" ca="1" si="76"/>
        <v/>
      </c>
      <c r="C2472" s="11" t="str">
        <f t="shared" ca="1" si="77"/>
        <v/>
      </c>
    </row>
    <row r="2473" spans="2:3" x14ac:dyDescent="0.15">
      <c r="B2473" s="77" t="str">
        <f t="shared" ca="1" si="76"/>
        <v/>
      </c>
      <c r="C2473" s="11" t="str">
        <f t="shared" ca="1" si="77"/>
        <v/>
      </c>
    </row>
    <row r="2474" spans="2:3" x14ac:dyDescent="0.15">
      <c r="B2474" s="77" t="str">
        <f t="shared" ca="1" si="76"/>
        <v/>
      </c>
      <c r="C2474" s="11" t="str">
        <f t="shared" ca="1" si="77"/>
        <v/>
      </c>
    </row>
    <row r="2475" spans="2:3" x14ac:dyDescent="0.15">
      <c r="B2475" s="77" t="str">
        <f t="shared" ca="1" si="76"/>
        <v/>
      </c>
      <c r="C2475" s="11" t="str">
        <f t="shared" ca="1" si="77"/>
        <v/>
      </c>
    </row>
    <row r="2476" spans="2:3" x14ac:dyDescent="0.15">
      <c r="B2476" s="77" t="str">
        <f t="shared" ca="1" si="76"/>
        <v/>
      </c>
      <c r="C2476" s="11" t="str">
        <f t="shared" ca="1" si="77"/>
        <v/>
      </c>
    </row>
    <row r="2477" spans="2:3" x14ac:dyDescent="0.15">
      <c r="B2477" s="77" t="str">
        <f t="shared" ca="1" si="76"/>
        <v/>
      </c>
      <c r="C2477" s="11" t="str">
        <f t="shared" ca="1" si="77"/>
        <v/>
      </c>
    </row>
    <row r="2478" spans="2:3" x14ac:dyDescent="0.15">
      <c r="B2478" s="77" t="str">
        <f t="shared" ca="1" si="76"/>
        <v/>
      </c>
      <c r="C2478" s="11" t="str">
        <f t="shared" ca="1" si="77"/>
        <v/>
      </c>
    </row>
    <row r="2479" spans="2:3" x14ac:dyDescent="0.15">
      <c r="B2479" s="77" t="str">
        <f t="shared" ca="1" si="76"/>
        <v/>
      </c>
      <c r="C2479" s="11" t="str">
        <f t="shared" ca="1" si="77"/>
        <v/>
      </c>
    </row>
    <row r="2480" spans="2:3" x14ac:dyDescent="0.15">
      <c r="B2480" s="77" t="str">
        <f t="shared" ca="1" si="76"/>
        <v/>
      </c>
      <c r="C2480" s="11" t="str">
        <f t="shared" ca="1" si="77"/>
        <v/>
      </c>
    </row>
    <row r="2481" spans="2:3" x14ac:dyDescent="0.15">
      <c r="B2481" s="77" t="str">
        <f t="shared" ca="1" si="76"/>
        <v/>
      </c>
      <c r="C2481" s="11" t="str">
        <f t="shared" ca="1" si="77"/>
        <v/>
      </c>
    </row>
    <row r="2482" spans="2:3" x14ac:dyDescent="0.15">
      <c r="B2482" s="77" t="str">
        <f t="shared" ca="1" si="76"/>
        <v/>
      </c>
      <c r="C2482" s="11" t="str">
        <f t="shared" ca="1" si="77"/>
        <v/>
      </c>
    </row>
    <row r="2483" spans="2:3" x14ac:dyDescent="0.15">
      <c r="B2483" s="77" t="str">
        <f t="shared" ca="1" si="76"/>
        <v/>
      </c>
      <c r="C2483" s="11" t="str">
        <f t="shared" ca="1" si="77"/>
        <v/>
      </c>
    </row>
    <row r="2484" spans="2:3" x14ac:dyDescent="0.15">
      <c r="B2484" s="77" t="str">
        <f t="shared" ca="1" si="76"/>
        <v/>
      </c>
      <c r="C2484" s="11" t="str">
        <f t="shared" ca="1" si="77"/>
        <v/>
      </c>
    </row>
    <row r="2485" spans="2:3" x14ac:dyDescent="0.15">
      <c r="B2485" s="77" t="str">
        <f t="shared" ca="1" si="76"/>
        <v/>
      </c>
      <c r="C2485" s="11" t="str">
        <f t="shared" ca="1" si="77"/>
        <v/>
      </c>
    </row>
    <row r="2486" spans="2:3" x14ac:dyDescent="0.15">
      <c r="B2486" s="77" t="str">
        <f t="shared" ca="1" si="76"/>
        <v/>
      </c>
      <c r="C2486" s="11" t="str">
        <f t="shared" ca="1" si="77"/>
        <v/>
      </c>
    </row>
    <row r="2487" spans="2:3" x14ac:dyDescent="0.15">
      <c r="B2487" s="77" t="str">
        <f t="shared" ca="1" si="76"/>
        <v/>
      </c>
      <c r="C2487" s="11" t="str">
        <f t="shared" ca="1" si="77"/>
        <v/>
      </c>
    </row>
    <row r="2488" spans="2:3" x14ac:dyDescent="0.15">
      <c r="B2488" s="77" t="str">
        <f t="shared" ca="1" si="76"/>
        <v/>
      </c>
      <c r="C2488" s="11" t="str">
        <f t="shared" ca="1" si="77"/>
        <v/>
      </c>
    </row>
    <row r="2489" spans="2:3" x14ac:dyDescent="0.15">
      <c r="B2489" s="77" t="str">
        <f t="shared" ca="1" si="76"/>
        <v/>
      </c>
      <c r="C2489" s="11" t="str">
        <f t="shared" ca="1" si="77"/>
        <v/>
      </c>
    </row>
    <row r="2490" spans="2:3" x14ac:dyDescent="0.15">
      <c r="B2490" s="77" t="str">
        <f t="shared" ca="1" si="76"/>
        <v/>
      </c>
      <c r="C2490" s="11" t="str">
        <f t="shared" ca="1" si="77"/>
        <v/>
      </c>
    </row>
    <row r="2491" spans="2:3" x14ac:dyDescent="0.15">
      <c r="B2491" s="77" t="str">
        <f t="shared" ca="1" si="76"/>
        <v/>
      </c>
      <c r="C2491" s="11" t="str">
        <f t="shared" ca="1" si="77"/>
        <v/>
      </c>
    </row>
    <row r="2492" spans="2:3" x14ac:dyDescent="0.15">
      <c r="B2492" s="77" t="str">
        <f t="shared" ca="1" si="76"/>
        <v/>
      </c>
      <c r="C2492" s="11" t="str">
        <f t="shared" ca="1" si="77"/>
        <v/>
      </c>
    </row>
    <row r="2493" spans="2:3" x14ac:dyDescent="0.15">
      <c r="B2493" s="77" t="str">
        <f t="shared" ca="1" si="76"/>
        <v/>
      </c>
      <c r="C2493" s="11" t="str">
        <f t="shared" ca="1" si="77"/>
        <v/>
      </c>
    </row>
    <row r="2494" spans="2:3" x14ac:dyDescent="0.15">
      <c r="B2494" s="77" t="str">
        <f t="shared" ca="1" si="76"/>
        <v/>
      </c>
      <c r="C2494" s="11" t="str">
        <f t="shared" ca="1" si="77"/>
        <v/>
      </c>
    </row>
    <row r="2495" spans="2:3" x14ac:dyDescent="0.15">
      <c r="B2495" s="77" t="str">
        <f t="shared" ca="1" si="76"/>
        <v/>
      </c>
      <c r="C2495" s="11" t="str">
        <f t="shared" ca="1" si="77"/>
        <v/>
      </c>
    </row>
    <row r="2496" spans="2:3" x14ac:dyDescent="0.15">
      <c r="B2496" s="77" t="str">
        <f t="shared" ca="1" si="76"/>
        <v/>
      </c>
      <c r="C2496" s="11" t="str">
        <f t="shared" ca="1" si="77"/>
        <v/>
      </c>
    </row>
    <row r="2497" spans="2:3" x14ac:dyDescent="0.15">
      <c r="B2497" s="77" t="str">
        <f t="shared" ca="1" si="76"/>
        <v/>
      </c>
      <c r="C2497" s="11" t="str">
        <f t="shared" ca="1" si="77"/>
        <v/>
      </c>
    </row>
    <row r="2498" spans="2:3" x14ac:dyDescent="0.15">
      <c r="B2498" s="77" t="str">
        <f t="shared" ref="B2498:B2561" ca="1" si="78">IFERROR(VLOOKUP(TEXT(A2498,"00000000"),analysis_table_by_barcode,15,FALSE),"")</f>
        <v/>
      </c>
      <c r="C2498" s="11" t="str">
        <f t="shared" ref="C2498:C2561" ca="1" si="79">IF($B2498&lt;&gt;"", IF(VLOOKUP(B2498, final_to_ministry_result,2,FALSE)&lt;&gt;"",VLOOKUP(B2498, final_to_ministry_result,2,FALSE),""),"")</f>
        <v/>
      </c>
    </row>
    <row r="2499" spans="2:3" x14ac:dyDescent="0.15">
      <c r="B2499" s="77" t="str">
        <f t="shared" ca="1" si="78"/>
        <v/>
      </c>
      <c r="C2499" s="11" t="str">
        <f t="shared" ca="1" si="79"/>
        <v/>
      </c>
    </row>
    <row r="2500" spans="2:3" x14ac:dyDescent="0.15">
      <c r="B2500" s="77" t="str">
        <f t="shared" ca="1" si="78"/>
        <v/>
      </c>
      <c r="C2500" s="11" t="str">
        <f t="shared" ca="1" si="79"/>
        <v/>
      </c>
    </row>
    <row r="2501" spans="2:3" x14ac:dyDescent="0.15">
      <c r="B2501" s="77" t="str">
        <f t="shared" ca="1" si="78"/>
        <v/>
      </c>
      <c r="C2501" s="11" t="str">
        <f t="shared" ca="1" si="79"/>
        <v/>
      </c>
    </row>
    <row r="2502" spans="2:3" x14ac:dyDescent="0.15">
      <c r="B2502" s="77" t="str">
        <f t="shared" ca="1" si="78"/>
        <v/>
      </c>
      <c r="C2502" s="11" t="str">
        <f t="shared" ca="1" si="79"/>
        <v/>
      </c>
    </row>
    <row r="2503" spans="2:3" x14ac:dyDescent="0.15">
      <c r="B2503" s="77" t="str">
        <f t="shared" ca="1" si="78"/>
        <v/>
      </c>
      <c r="C2503" s="11" t="str">
        <f t="shared" ca="1" si="79"/>
        <v/>
      </c>
    </row>
    <row r="2504" spans="2:3" x14ac:dyDescent="0.15">
      <c r="B2504" s="77" t="str">
        <f t="shared" ca="1" si="78"/>
        <v/>
      </c>
      <c r="C2504" s="11" t="str">
        <f t="shared" ca="1" si="79"/>
        <v/>
      </c>
    </row>
    <row r="2505" spans="2:3" x14ac:dyDescent="0.15">
      <c r="B2505" s="77" t="str">
        <f t="shared" ca="1" si="78"/>
        <v/>
      </c>
      <c r="C2505" s="11" t="str">
        <f t="shared" ca="1" si="79"/>
        <v/>
      </c>
    </row>
    <row r="2506" spans="2:3" x14ac:dyDescent="0.15">
      <c r="B2506" s="77" t="str">
        <f t="shared" ca="1" si="78"/>
        <v/>
      </c>
      <c r="C2506" s="11" t="str">
        <f t="shared" ca="1" si="79"/>
        <v/>
      </c>
    </row>
    <row r="2507" spans="2:3" x14ac:dyDescent="0.15">
      <c r="B2507" s="77" t="str">
        <f t="shared" ca="1" si="78"/>
        <v/>
      </c>
      <c r="C2507" s="11" t="str">
        <f t="shared" ca="1" si="79"/>
        <v/>
      </c>
    </row>
    <row r="2508" spans="2:3" x14ac:dyDescent="0.15">
      <c r="B2508" s="77" t="str">
        <f t="shared" ca="1" si="78"/>
        <v/>
      </c>
      <c r="C2508" s="11" t="str">
        <f t="shared" ca="1" si="79"/>
        <v/>
      </c>
    </row>
    <row r="2509" spans="2:3" x14ac:dyDescent="0.15">
      <c r="B2509" s="77" t="str">
        <f t="shared" ca="1" si="78"/>
        <v/>
      </c>
      <c r="C2509" s="11" t="str">
        <f t="shared" ca="1" si="79"/>
        <v/>
      </c>
    </row>
    <row r="2510" spans="2:3" x14ac:dyDescent="0.15">
      <c r="B2510" s="77" t="str">
        <f t="shared" ca="1" si="78"/>
        <v/>
      </c>
      <c r="C2510" s="11" t="str">
        <f t="shared" ca="1" si="79"/>
        <v/>
      </c>
    </row>
    <row r="2511" spans="2:3" x14ac:dyDescent="0.15">
      <c r="B2511" s="77" t="str">
        <f t="shared" ca="1" si="78"/>
        <v/>
      </c>
      <c r="C2511" s="11" t="str">
        <f t="shared" ca="1" si="79"/>
        <v/>
      </c>
    </row>
    <row r="2512" spans="2:3" x14ac:dyDescent="0.15">
      <c r="B2512" s="77" t="str">
        <f t="shared" ca="1" si="78"/>
        <v/>
      </c>
      <c r="C2512" s="11" t="str">
        <f t="shared" ca="1" si="79"/>
        <v/>
      </c>
    </row>
    <row r="2513" spans="2:3" x14ac:dyDescent="0.15">
      <c r="B2513" s="77" t="str">
        <f t="shared" ca="1" si="78"/>
        <v/>
      </c>
      <c r="C2513" s="11" t="str">
        <f t="shared" ca="1" si="79"/>
        <v/>
      </c>
    </row>
    <row r="2514" spans="2:3" x14ac:dyDescent="0.15">
      <c r="B2514" s="77" t="str">
        <f t="shared" ca="1" si="78"/>
        <v/>
      </c>
      <c r="C2514" s="11" t="str">
        <f t="shared" ca="1" si="79"/>
        <v/>
      </c>
    </row>
    <row r="2515" spans="2:3" x14ac:dyDescent="0.15">
      <c r="B2515" s="77" t="str">
        <f t="shared" ca="1" si="78"/>
        <v/>
      </c>
      <c r="C2515" s="11" t="str">
        <f t="shared" ca="1" si="79"/>
        <v/>
      </c>
    </row>
    <row r="2516" spans="2:3" x14ac:dyDescent="0.15">
      <c r="B2516" s="77" t="str">
        <f t="shared" ca="1" si="78"/>
        <v/>
      </c>
      <c r="C2516" s="11" t="str">
        <f t="shared" ca="1" si="79"/>
        <v/>
      </c>
    </row>
    <row r="2517" spans="2:3" x14ac:dyDescent="0.15">
      <c r="B2517" s="77" t="str">
        <f t="shared" ca="1" si="78"/>
        <v/>
      </c>
      <c r="C2517" s="11" t="str">
        <f t="shared" ca="1" si="79"/>
        <v/>
      </c>
    </row>
    <row r="2518" spans="2:3" x14ac:dyDescent="0.15">
      <c r="B2518" s="77" t="str">
        <f t="shared" ca="1" si="78"/>
        <v/>
      </c>
      <c r="C2518" s="11" t="str">
        <f t="shared" ca="1" si="79"/>
        <v/>
      </c>
    </row>
    <row r="2519" spans="2:3" x14ac:dyDescent="0.15">
      <c r="B2519" s="77" t="str">
        <f t="shared" ca="1" si="78"/>
        <v/>
      </c>
      <c r="C2519" s="11" t="str">
        <f t="shared" ca="1" si="79"/>
        <v/>
      </c>
    </row>
    <row r="2520" spans="2:3" x14ac:dyDescent="0.15">
      <c r="B2520" s="77" t="str">
        <f t="shared" ca="1" si="78"/>
        <v/>
      </c>
      <c r="C2520" s="11" t="str">
        <f t="shared" ca="1" si="79"/>
        <v/>
      </c>
    </row>
    <row r="2521" spans="2:3" x14ac:dyDescent="0.15">
      <c r="B2521" s="77" t="str">
        <f t="shared" ca="1" si="78"/>
        <v/>
      </c>
      <c r="C2521" s="11" t="str">
        <f t="shared" ca="1" si="79"/>
        <v/>
      </c>
    </row>
    <row r="2522" spans="2:3" x14ac:dyDescent="0.15">
      <c r="B2522" s="77" t="str">
        <f t="shared" ca="1" si="78"/>
        <v/>
      </c>
      <c r="C2522" s="11" t="str">
        <f t="shared" ca="1" si="79"/>
        <v/>
      </c>
    </row>
    <row r="2523" spans="2:3" x14ac:dyDescent="0.15">
      <c r="B2523" s="77" t="str">
        <f t="shared" ca="1" si="78"/>
        <v/>
      </c>
      <c r="C2523" s="11" t="str">
        <f t="shared" ca="1" si="79"/>
        <v/>
      </c>
    </row>
    <row r="2524" spans="2:3" x14ac:dyDescent="0.15">
      <c r="B2524" s="77" t="str">
        <f t="shared" ca="1" si="78"/>
        <v/>
      </c>
      <c r="C2524" s="11" t="str">
        <f t="shared" ca="1" si="79"/>
        <v/>
      </c>
    </row>
    <row r="2525" spans="2:3" x14ac:dyDescent="0.15">
      <c r="B2525" s="77" t="str">
        <f t="shared" ca="1" si="78"/>
        <v/>
      </c>
      <c r="C2525" s="11" t="str">
        <f t="shared" ca="1" si="79"/>
        <v/>
      </c>
    </row>
    <row r="2526" spans="2:3" x14ac:dyDescent="0.15">
      <c r="B2526" s="77" t="str">
        <f t="shared" ca="1" si="78"/>
        <v/>
      </c>
      <c r="C2526" s="11" t="str">
        <f t="shared" ca="1" si="79"/>
        <v/>
      </c>
    </row>
    <row r="2527" spans="2:3" x14ac:dyDescent="0.15">
      <c r="B2527" s="77" t="str">
        <f t="shared" ca="1" si="78"/>
        <v/>
      </c>
      <c r="C2527" s="11" t="str">
        <f t="shared" ca="1" si="79"/>
        <v/>
      </c>
    </row>
    <row r="2528" spans="2:3" x14ac:dyDescent="0.15">
      <c r="B2528" s="77" t="str">
        <f t="shared" ca="1" si="78"/>
        <v/>
      </c>
      <c r="C2528" s="11" t="str">
        <f t="shared" ca="1" si="79"/>
        <v/>
      </c>
    </row>
    <row r="2529" spans="2:3" x14ac:dyDescent="0.15">
      <c r="B2529" s="77" t="str">
        <f t="shared" ca="1" si="78"/>
        <v/>
      </c>
      <c r="C2529" s="11" t="str">
        <f t="shared" ca="1" si="79"/>
        <v/>
      </c>
    </row>
    <row r="2530" spans="2:3" x14ac:dyDescent="0.15">
      <c r="B2530" s="77" t="str">
        <f t="shared" ca="1" si="78"/>
        <v/>
      </c>
      <c r="C2530" s="11" t="str">
        <f t="shared" ca="1" si="79"/>
        <v/>
      </c>
    </row>
    <row r="2531" spans="2:3" x14ac:dyDescent="0.15">
      <c r="B2531" s="77" t="str">
        <f t="shared" ca="1" si="78"/>
        <v/>
      </c>
      <c r="C2531" s="11" t="str">
        <f t="shared" ca="1" si="79"/>
        <v/>
      </c>
    </row>
    <row r="2532" spans="2:3" x14ac:dyDescent="0.15">
      <c r="B2532" s="77" t="str">
        <f t="shared" ca="1" si="78"/>
        <v/>
      </c>
      <c r="C2532" s="11" t="str">
        <f t="shared" ca="1" si="79"/>
        <v/>
      </c>
    </row>
    <row r="2533" spans="2:3" x14ac:dyDescent="0.15">
      <c r="B2533" s="77" t="str">
        <f t="shared" ca="1" si="78"/>
        <v/>
      </c>
      <c r="C2533" s="11" t="str">
        <f t="shared" ca="1" si="79"/>
        <v/>
      </c>
    </row>
    <row r="2534" spans="2:3" x14ac:dyDescent="0.15">
      <c r="B2534" s="77" t="str">
        <f t="shared" ca="1" si="78"/>
        <v/>
      </c>
      <c r="C2534" s="11" t="str">
        <f t="shared" ca="1" si="79"/>
        <v/>
      </c>
    </row>
    <row r="2535" spans="2:3" x14ac:dyDescent="0.15">
      <c r="B2535" s="77" t="str">
        <f t="shared" ca="1" si="78"/>
        <v/>
      </c>
      <c r="C2535" s="11" t="str">
        <f t="shared" ca="1" si="79"/>
        <v/>
      </c>
    </row>
    <row r="2536" spans="2:3" x14ac:dyDescent="0.15">
      <c r="B2536" s="77" t="str">
        <f t="shared" ca="1" si="78"/>
        <v/>
      </c>
      <c r="C2536" s="11" t="str">
        <f t="shared" ca="1" si="79"/>
        <v/>
      </c>
    </row>
    <row r="2537" spans="2:3" x14ac:dyDescent="0.15">
      <c r="B2537" s="77" t="str">
        <f t="shared" ca="1" si="78"/>
        <v/>
      </c>
      <c r="C2537" s="11" t="str">
        <f t="shared" ca="1" si="79"/>
        <v/>
      </c>
    </row>
    <row r="2538" spans="2:3" x14ac:dyDescent="0.15">
      <c r="B2538" s="77" t="str">
        <f t="shared" ca="1" si="78"/>
        <v/>
      </c>
      <c r="C2538" s="11" t="str">
        <f t="shared" ca="1" si="79"/>
        <v/>
      </c>
    </row>
    <row r="2539" spans="2:3" x14ac:dyDescent="0.15">
      <c r="B2539" s="77" t="str">
        <f t="shared" ca="1" si="78"/>
        <v/>
      </c>
      <c r="C2539" s="11" t="str">
        <f t="shared" ca="1" si="79"/>
        <v/>
      </c>
    </row>
    <row r="2540" spans="2:3" x14ac:dyDescent="0.15">
      <c r="B2540" s="77" t="str">
        <f t="shared" ca="1" si="78"/>
        <v/>
      </c>
      <c r="C2540" s="11" t="str">
        <f t="shared" ca="1" si="79"/>
        <v/>
      </c>
    </row>
    <row r="2541" spans="2:3" x14ac:dyDescent="0.15">
      <c r="B2541" s="77" t="str">
        <f t="shared" ca="1" si="78"/>
        <v/>
      </c>
      <c r="C2541" s="11" t="str">
        <f t="shared" ca="1" si="79"/>
        <v/>
      </c>
    </row>
    <row r="2542" spans="2:3" x14ac:dyDescent="0.15">
      <c r="B2542" s="77" t="str">
        <f t="shared" ca="1" si="78"/>
        <v/>
      </c>
      <c r="C2542" s="11" t="str">
        <f t="shared" ca="1" si="79"/>
        <v/>
      </c>
    </row>
    <row r="2543" spans="2:3" x14ac:dyDescent="0.15">
      <c r="B2543" s="77" t="str">
        <f t="shared" ca="1" si="78"/>
        <v/>
      </c>
      <c r="C2543" s="11" t="str">
        <f t="shared" ca="1" si="79"/>
        <v/>
      </c>
    </row>
    <row r="2544" spans="2:3" x14ac:dyDescent="0.15">
      <c r="B2544" s="77" t="str">
        <f t="shared" ca="1" si="78"/>
        <v/>
      </c>
      <c r="C2544" s="11" t="str">
        <f t="shared" ca="1" si="79"/>
        <v/>
      </c>
    </row>
    <row r="2545" spans="2:3" x14ac:dyDescent="0.15">
      <c r="B2545" s="77" t="str">
        <f t="shared" ca="1" si="78"/>
        <v/>
      </c>
      <c r="C2545" s="11" t="str">
        <f t="shared" ca="1" si="79"/>
        <v/>
      </c>
    </row>
    <row r="2546" spans="2:3" x14ac:dyDescent="0.15">
      <c r="B2546" s="77" t="str">
        <f t="shared" ca="1" si="78"/>
        <v/>
      </c>
      <c r="C2546" s="11" t="str">
        <f t="shared" ca="1" si="79"/>
        <v/>
      </c>
    </row>
    <row r="2547" spans="2:3" x14ac:dyDescent="0.15">
      <c r="B2547" s="77" t="str">
        <f t="shared" ca="1" si="78"/>
        <v/>
      </c>
      <c r="C2547" s="11" t="str">
        <f t="shared" ca="1" si="79"/>
        <v/>
      </c>
    </row>
    <row r="2548" spans="2:3" x14ac:dyDescent="0.15">
      <c r="B2548" s="77" t="str">
        <f t="shared" ca="1" si="78"/>
        <v/>
      </c>
      <c r="C2548" s="11" t="str">
        <f t="shared" ca="1" si="79"/>
        <v/>
      </c>
    </row>
    <row r="2549" spans="2:3" x14ac:dyDescent="0.15">
      <c r="B2549" s="77" t="str">
        <f t="shared" ca="1" si="78"/>
        <v/>
      </c>
      <c r="C2549" s="11" t="str">
        <f t="shared" ca="1" si="79"/>
        <v/>
      </c>
    </row>
    <row r="2550" spans="2:3" x14ac:dyDescent="0.15">
      <c r="B2550" s="77" t="str">
        <f t="shared" ca="1" si="78"/>
        <v/>
      </c>
      <c r="C2550" s="11" t="str">
        <f t="shared" ca="1" si="79"/>
        <v/>
      </c>
    </row>
    <row r="2551" spans="2:3" x14ac:dyDescent="0.15">
      <c r="B2551" s="77" t="str">
        <f t="shared" ca="1" si="78"/>
        <v/>
      </c>
      <c r="C2551" s="11" t="str">
        <f t="shared" ca="1" si="79"/>
        <v/>
      </c>
    </row>
    <row r="2552" spans="2:3" x14ac:dyDescent="0.15">
      <c r="B2552" s="77" t="str">
        <f t="shared" ca="1" si="78"/>
        <v/>
      </c>
      <c r="C2552" s="11" t="str">
        <f t="shared" ca="1" si="79"/>
        <v/>
      </c>
    </row>
    <row r="2553" spans="2:3" x14ac:dyDescent="0.15">
      <c r="B2553" s="77" t="str">
        <f t="shared" ca="1" si="78"/>
        <v/>
      </c>
      <c r="C2553" s="11" t="str">
        <f t="shared" ca="1" si="79"/>
        <v/>
      </c>
    </row>
    <row r="2554" spans="2:3" x14ac:dyDescent="0.15">
      <c r="B2554" s="77" t="str">
        <f t="shared" ca="1" si="78"/>
        <v/>
      </c>
      <c r="C2554" s="11" t="str">
        <f t="shared" ca="1" si="79"/>
        <v/>
      </c>
    </row>
    <row r="2555" spans="2:3" x14ac:dyDescent="0.15">
      <c r="B2555" s="77" t="str">
        <f t="shared" ca="1" si="78"/>
        <v/>
      </c>
      <c r="C2555" s="11" t="str">
        <f t="shared" ca="1" si="79"/>
        <v/>
      </c>
    </row>
    <row r="2556" spans="2:3" x14ac:dyDescent="0.15">
      <c r="B2556" s="77" t="str">
        <f t="shared" ca="1" si="78"/>
        <v/>
      </c>
      <c r="C2556" s="11" t="str">
        <f t="shared" ca="1" si="79"/>
        <v/>
      </c>
    </row>
    <row r="2557" spans="2:3" x14ac:dyDescent="0.15">
      <c r="B2557" s="77" t="str">
        <f t="shared" ca="1" si="78"/>
        <v/>
      </c>
      <c r="C2557" s="11" t="str">
        <f t="shared" ca="1" si="79"/>
        <v/>
      </c>
    </row>
    <row r="2558" spans="2:3" x14ac:dyDescent="0.15">
      <c r="B2558" s="77" t="str">
        <f t="shared" ca="1" si="78"/>
        <v/>
      </c>
      <c r="C2558" s="11" t="str">
        <f t="shared" ca="1" si="79"/>
        <v/>
      </c>
    </row>
    <row r="2559" spans="2:3" x14ac:dyDescent="0.15">
      <c r="B2559" s="77" t="str">
        <f t="shared" ca="1" si="78"/>
        <v/>
      </c>
      <c r="C2559" s="11" t="str">
        <f t="shared" ca="1" si="79"/>
        <v/>
      </c>
    </row>
    <row r="2560" spans="2:3" x14ac:dyDescent="0.15">
      <c r="B2560" s="77" t="str">
        <f t="shared" ca="1" si="78"/>
        <v/>
      </c>
      <c r="C2560" s="11" t="str">
        <f t="shared" ca="1" si="79"/>
        <v/>
      </c>
    </row>
    <row r="2561" spans="2:3" x14ac:dyDescent="0.15">
      <c r="B2561" s="77" t="str">
        <f t="shared" ca="1" si="78"/>
        <v/>
      </c>
      <c r="C2561" s="11" t="str">
        <f t="shared" ca="1" si="79"/>
        <v/>
      </c>
    </row>
    <row r="2562" spans="2:3" x14ac:dyDescent="0.15">
      <c r="B2562" s="77" t="str">
        <f t="shared" ref="B2562:B2625" ca="1" si="80">IFERROR(VLOOKUP(TEXT(A2562,"00000000"),analysis_table_by_barcode,15,FALSE),"")</f>
        <v/>
      </c>
      <c r="C2562" s="11" t="str">
        <f t="shared" ref="C2562:C2625" ca="1" si="81">IF($B2562&lt;&gt;"", IF(VLOOKUP(B2562, final_to_ministry_result,2,FALSE)&lt;&gt;"",VLOOKUP(B2562, final_to_ministry_result,2,FALSE),""),"")</f>
        <v/>
      </c>
    </row>
    <row r="2563" spans="2:3" x14ac:dyDescent="0.15">
      <c r="B2563" s="77" t="str">
        <f t="shared" ca="1" si="80"/>
        <v/>
      </c>
      <c r="C2563" s="11" t="str">
        <f t="shared" ca="1" si="81"/>
        <v/>
      </c>
    </row>
    <row r="2564" spans="2:3" x14ac:dyDescent="0.15">
      <c r="B2564" s="77" t="str">
        <f t="shared" ca="1" si="80"/>
        <v/>
      </c>
      <c r="C2564" s="11" t="str">
        <f t="shared" ca="1" si="81"/>
        <v/>
      </c>
    </row>
    <row r="2565" spans="2:3" x14ac:dyDescent="0.15">
      <c r="B2565" s="77" t="str">
        <f t="shared" ca="1" si="80"/>
        <v/>
      </c>
      <c r="C2565" s="11" t="str">
        <f t="shared" ca="1" si="81"/>
        <v/>
      </c>
    </row>
    <row r="2566" spans="2:3" x14ac:dyDescent="0.15">
      <c r="B2566" s="77" t="str">
        <f t="shared" ca="1" si="80"/>
        <v/>
      </c>
      <c r="C2566" s="11" t="str">
        <f t="shared" ca="1" si="81"/>
        <v/>
      </c>
    </row>
    <row r="2567" spans="2:3" x14ac:dyDescent="0.15">
      <c r="B2567" s="77" t="str">
        <f t="shared" ca="1" si="80"/>
        <v/>
      </c>
      <c r="C2567" s="11" t="str">
        <f t="shared" ca="1" si="81"/>
        <v/>
      </c>
    </row>
    <row r="2568" spans="2:3" x14ac:dyDescent="0.15">
      <c r="B2568" s="77" t="str">
        <f t="shared" ca="1" si="80"/>
        <v/>
      </c>
      <c r="C2568" s="11" t="str">
        <f t="shared" ca="1" si="81"/>
        <v/>
      </c>
    </row>
    <row r="2569" spans="2:3" x14ac:dyDescent="0.15">
      <c r="B2569" s="77" t="str">
        <f t="shared" ca="1" si="80"/>
        <v/>
      </c>
      <c r="C2569" s="11" t="str">
        <f t="shared" ca="1" si="81"/>
        <v/>
      </c>
    </row>
    <row r="2570" spans="2:3" x14ac:dyDescent="0.15">
      <c r="B2570" s="77" t="str">
        <f t="shared" ca="1" si="80"/>
        <v/>
      </c>
      <c r="C2570" s="11" t="str">
        <f t="shared" ca="1" si="81"/>
        <v/>
      </c>
    </row>
    <row r="2571" spans="2:3" x14ac:dyDescent="0.15">
      <c r="B2571" s="77" t="str">
        <f t="shared" ca="1" si="80"/>
        <v/>
      </c>
      <c r="C2571" s="11" t="str">
        <f t="shared" ca="1" si="81"/>
        <v/>
      </c>
    </row>
    <row r="2572" spans="2:3" x14ac:dyDescent="0.15">
      <c r="B2572" s="77" t="str">
        <f t="shared" ca="1" si="80"/>
        <v/>
      </c>
      <c r="C2572" s="11" t="str">
        <f t="shared" ca="1" si="81"/>
        <v/>
      </c>
    </row>
    <row r="2573" spans="2:3" x14ac:dyDescent="0.15">
      <c r="B2573" s="77" t="str">
        <f t="shared" ca="1" si="80"/>
        <v/>
      </c>
      <c r="C2573" s="11" t="str">
        <f t="shared" ca="1" si="81"/>
        <v/>
      </c>
    </row>
    <row r="2574" spans="2:3" x14ac:dyDescent="0.15">
      <c r="B2574" s="77" t="str">
        <f t="shared" ca="1" si="80"/>
        <v/>
      </c>
      <c r="C2574" s="11" t="str">
        <f t="shared" ca="1" si="81"/>
        <v/>
      </c>
    </row>
    <row r="2575" spans="2:3" x14ac:dyDescent="0.15">
      <c r="B2575" s="77" t="str">
        <f t="shared" ca="1" si="80"/>
        <v/>
      </c>
      <c r="C2575" s="11" t="str">
        <f t="shared" ca="1" si="81"/>
        <v/>
      </c>
    </row>
    <row r="2576" spans="2:3" x14ac:dyDescent="0.15">
      <c r="B2576" s="77" t="str">
        <f t="shared" ca="1" si="80"/>
        <v/>
      </c>
      <c r="C2576" s="11" t="str">
        <f t="shared" ca="1" si="81"/>
        <v/>
      </c>
    </row>
    <row r="2577" spans="2:3" x14ac:dyDescent="0.15">
      <c r="B2577" s="77" t="str">
        <f t="shared" ca="1" si="80"/>
        <v/>
      </c>
      <c r="C2577" s="11" t="str">
        <f t="shared" ca="1" si="81"/>
        <v/>
      </c>
    </row>
    <row r="2578" spans="2:3" x14ac:dyDescent="0.15">
      <c r="B2578" s="77" t="str">
        <f t="shared" ca="1" si="80"/>
        <v/>
      </c>
      <c r="C2578" s="11" t="str">
        <f t="shared" ca="1" si="81"/>
        <v/>
      </c>
    </row>
    <row r="2579" spans="2:3" x14ac:dyDescent="0.15">
      <c r="B2579" s="77" t="str">
        <f t="shared" ca="1" si="80"/>
        <v/>
      </c>
      <c r="C2579" s="11" t="str">
        <f t="shared" ca="1" si="81"/>
        <v/>
      </c>
    </row>
    <row r="2580" spans="2:3" x14ac:dyDescent="0.15">
      <c r="B2580" s="77" t="str">
        <f t="shared" ca="1" si="80"/>
        <v/>
      </c>
      <c r="C2580" s="11" t="str">
        <f t="shared" ca="1" si="81"/>
        <v/>
      </c>
    </row>
    <row r="2581" spans="2:3" x14ac:dyDescent="0.15">
      <c r="B2581" s="77" t="str">
        <f t="shared" ca="1" si="80"/>
        <v/>
      </c>
      <c r="C2581" s="11" t="str">
        <f t="shared" ca="1" si="81"/>
        <v/>
      </c>
    </row>
    <row r="2582" spans="2:3" x14ac:dyDescent="0.15">
      <c r="B2582" s="77" t="str">
        <f t="shared" ca="1" si="80"/>
        <v/>
      </c>
      <c r="C2582" s="11" t="str">
        <f t="shared" ca="1" si="81"/>
        <v/>
      </c>
    </row>
    <row r="2583" spans="2:3" x14ac:dyDescent="0.15">
      <c r="B2583" s="77" t="str">
        <f t="shared" ca="1" si="80"/>
        <v/>
      </c>
      <c r="C2583" s="11" t="str">
        <f t="shared" ca="1" si="81"/>
        <v/>
      </c>
    </row>
    <row r="2584" spans="2:3" x14ac:dyDescent="0.15">
      <c r="B2584" s="77" t="str">
        <f t="shared" ca="1" si="80"/>
        <v/>
      </c>
      <c r="C2584" s="11" t="str">
        <f t="shared" ca="1" si="81"/>
        <v/>
      </c>
    </row>
    <row r="2585" spans="2:3" x14ac:dyDescent="0.15">
      <c r="B2585" s="77" t="str">
        <f t="shared" ca="1" si="80"/>
        <v/>
      </c>
      <c r="C2585" s="11" t="str">
        <f t="shared" ca="1" si="81"/>
        <v/>
      </c>
    </row>
    <row r="2586" spans="2:3" x14ac:dyDescent="0.15">
      <c r="B2586" s="77" t="str">
        <f t="shared" ca="1" si="80"/>
        <v/>
      </c>
      <c r="C2586" s="11" t="str">
        <f t="shared" ca="1" si="81"/>
        <v/>
      </c>
    </row>
    <row r="2587" spans="2:3" x14ac:dyDescent="0.15">
      <c r="B2587" s="77" t="str">
        <f t="shared" ca="1" si="80"/>
        <v/>
      </c>
      <c r="C2587" s="11" t="str">
        <f t="shared" ca="1" si="81"/>
        <v/>
      </c>
    </row>
    <row r="2588" spans="2:3" x14ac:dyDescent="0.15">
      <c r="B2588" s="77" t="str">
        <f t="shared" ca="1" si="80"/>
        <v/>
      </c>
      <c r="C2588" s="11" t="str">
        <f t="shared" ca="1" si="81"/>
        <v/>
      </c>
    </row>
    <row r="2589" spans="2:3" x14ac:dyDescent="0.15">
      <c r="B2589" s="77" t="str">
        <f t="shared" ca="1" si="80"/>
        <v/>
      </c>
      <c r="C2589" s="11" t="str">
        <f t="shared" ca="1" si="81"/>
        <v/>
      </c>
    </row>
    <row r="2590" spans="2:3" x14ac:dyDescent="0.15">
      <c r="B2590" s="77" t="str">
        <f t="shared" ca="1" si="80"/>
        <v/>
      </c>
      <c r="C2590" s="11" t="str">
        <f t="shared" ca="1" si="81"/>
        <v/>
      </c>
    </row>
    <row r="2591" spans="2:3" x14ac:dyDescent="0.15">
      <c r="B2591" s="77" t="str">
        <f t="shared" ca="1" si="80"/>
        <v/>
      </c>
      <c r="C2591" s="11" t="str">
        <f t="shared" ca="1" si="81"/>
        <v/>
      </c>
    </row>
    <row r="2592" spans="2:3" x14ac:dyDescent="0.15">
      <c r="B2592" s="77" t="str">
        <f t="shared" ca="1" si="80"/>
        <v/>
      </c>
      <c r="C2592" s="11" t="str">
        <f t="shared" ca="1" si="81"/>
        <v/>
      </c>
    </row>
    <row r="2593" spans="2:3" x14ac:dyDescent="0.15">
      <c r="B2593" s="77" t="str">
        <f t="shared" ca="1" si="80"/>
        <v/>
      </c>
      <c r="C2593" s="11" t="str">
        <f t="shared" ca="1" si="81"/>
        <v/>
      </c>
    </row>
    <row r="2594" spans="2:3" x14ac:dyDescent="0.15">
      <c r="B2594" s="77" t="str">
        <f t="shared" ca="1" si="80"/>
        <v/>
      </c>
      <c r="C2594" s="11" t="str">
        <f t="shared" ca="1" si="81"/>
        <v/>
      </c>
    </row>
    <row r="2595" spans="2:3" x14ac:dyDescent="0.15">
      <c r="B2595" s="77" t="str">
        <f t="shared" ca="1" si="80"/>
        <v/>
      </c>
      <c r="C2595" s="11" t="str">
        <f t="shared" ca="1" si="81"/>
        <v/>
      </c>
    </row>
    <row r="2596" spans="2:3" x14ac:dyDescent="0.15">
      <c r="B2596" s="77" t="str">
        <f t="shared" ca="1" si="80"/>
        <v/>
      </c>
      <c r="C2596" s="11" t="str">
        <f t="shared" ca="1" si="81"/>
        <v/>
      </c>
    </row>
    <row r="2597" spans="2:3" x14ac:dyDescent="0.15">
      <c r="B2597" s="77" t="str">
        <f t="shared" ca="1" si="80"/>
        <v/>
      </c>
      <c r="C2597" s="11" t="str">
        <f t="shared" ca="1" si="81"/>
        <v/>
      </c>
    </row>
    <row r="2598" spans="2:3" x14ac:dyDescent="0.15">
      <c r="B2598" s="77" t="str">
        <f t="shared" ca="1" si="80"/>
        <v/>
      </c>
      <c r="C2598" s="11" t="str">
        <f t="shared" ca="1" si="81"/>
        <v/>
      </c>
    </row>
    <row r="2599" spans="2:3" x14ac:dyDescent="0.15">
      <c r="B2599" s="77" t="str">
        <f t="shared" ca="1" si="80"/>
        <v/>
      </c>
      <c r="C2599" s="11" t="str">
        <f t="shared" ca="1" si="81"/>
        <v/>
      </c>
    </row>
    <row r="2600" spans="2:3" x14ac:dyDescent="0.15">
      <c r="B2600" s="77" t="str">
        <f t="shared" ca="1" si="80"/>
        <v/>
      </c>
      <c r="C2600" s="11" t="str">
        <f t="shared" ca="1" si="81"/>
        <v/>
      </c>
    </row>
    <row r="2601" spans="2:3" x14ac:dyDescent="0.15">
      <c r="B2601" s="77" t="str">
        <f t="shared" ca="1" si="80"/>
        <v/>
      </c>
      <c r="C2601" s="11" t="str">
        <f t="shared" ca="1" si="81"/>
        <v/>
      </c>
    </row>
    <row r="2602" spans="2:3" x14ac:dyDescent="0.15">
      <c r="B2602" s="77" t="str">
        <f t="shared" ca="1" si="80"/>
        <v/>
      </c>
      <c r="C2602" s="11" t="str">
        <f t="shared" ca="1" si="81"/>
        <v/>
      </c>
    </row>
    <row r="2603" spans="2:3" x14ac:dyDescent="0.15">
      <c r="B2603" s="77" t="str">
        <f t="shared" ca="1" si="80"/>
        <v/>
      </c>
      <c r="C2603" s="11" t="str">
        <f t="shared" ca="1" si="81"/>
        <v/>
      </c>
    </row>
    <row r="2604" spans="2:3" x14ac:dyDescent="0.15">
      <c r="B2604" s="77" t="str">
        <f t="shared" ca="1" si="80"/>
        <v/>
      </c>
      <c r="C2604" s="11" t="str">
        <f t="shared" ca="1" si="81"/>
        <v/>
      </c>
    </row>
    <row r="2605" spans="2:3" x14ac:dyDescent="0.15">
      <c r="B2605" s="77" t="str">
        <f t="shared" ca="1" si="80"/>
        <v/>
      </c>
      <c r="C2605" s="11" t="str">
        <f t="shared" ca="1" si="81"/>
        <v/>
      </c>
    </row>
    <row r="2606" spans="2:3" x14ac:dyDescent="0.15">
      <c r="B2606" s="77" t="str">
        <f t="shared" ca="1" si="80"/>
        <v/>
      </c>
      <c r="C2606" s="11" t="str">
        <f t="shared" ca="1" si="81"/>
        <v/>
      </c>
    </row>
    <row r="2607" spans="2:3" x14ac:dyDescent="0.15">
      <c r="B2607" s="77" t="str">
        <f t="shared" ca="1" si="80"/>
        <v/>
      </c>
      <c r="C2607" s="11" t="str">
        <f t="shared" ca="1" si="81"/>
        <v/>
      </c>
    </row>
    <row r="2608" spans="2:3" x14ac:dyDescent="0.15">
      <c r="B2608" s="77" t="str">
        <f t="shared" ca="1" si="80"/>
        <v/>
      </c>
      <c r="C2608" s="11" t="str">
        <f t="shared" ca="1" si="81"/>
        <v/>
      </c>
    </row>
    <row r="2609" spans="2:3" x14ac:dyDescent="0.15">
      <c r="B2609" s="77" t="str">
        <f t="shared" ca="1" si="80"/>
        <v/>
      </c>
      <c r="C2609" s="11" t="str">
        <f t="shared" ca="1" si="81"/>
        <v/>
      </c>
    </row>
    <row r="2610" spans="2:3" x14ac:dyDescent="0.15">
      <c r="B2610" s="77" t="str">
        <f t="shared" ca="1" si="80"/>
        <v/>
      </c>
      <c r="C2610" s="11" t="str">
        <f t="shared" ca="1" si="81"/>
        <v/>
      </c>
    </row>
    <row r="2611" spans="2:3" x14ac:dyDescent="0.15">
      <c r="B2611" s="77" t="str">
        <f t="shared" ca="1" si="80"/>
        <v/>
      </c>
      <c r="C2611" s="11" t="str">
        <f t="shared" ca="1" si="81"/>
        <v/>
      </c>
    </row>
    <row r="2612" spans="2:3" x14ac:dyDescent="0.15">
      <c r="B2612" s="77" t="str">
        <f t="shared" ca="1" si="80"/>
        <v/>
      </c>
      <c r="C2612" s="11" t="str">
        <f t="shared" ca="1" si="81"/>
        <v/>
      </c>
    </row>
    <row r="2613" spans="2:3" x14ac:dyDescent="0.15">
      <c r="B2613" s="77" t="str">
        <f t="shared" ca="1" si="80"/>
        <v/>
      </c>
      <c r="C2613" s="11" t="str">
        <f t="shared" ca="1" si="81"/>
        <v/>
      </c>
    </row>
    <row r="2614" spans="2:3" x14ac:dyDescent="0.15">
      <c r="B2614" s="77" t="str">
        <f t="shared" ca="1" si="80"/>
        <v/>
      </c>
      <c r="C2614" s="11" t="str">
        <f t="shared" ca="1" si="81"/>
        <v/>
      </c>
    </row>
    <row r="2615" spans="2:3" x14ac:dyDescent="0.15">
      <c r="B2615" s="77" t="str">
        <f t="shared" ca="1" si="80"/>
        <v/>
      </c>
      <c r="C2615" s="11" t="str">
        <f t="shared" ca="1" si="81"/>
        <v/>
      </c>
    </row>
    <row r="2616" spans="2:3" x14ac:dyDescent="0.15">
      <c r="B2616" s="77" t="str">
        <f t="shared" ca="1" si="80"/>
        <v/>
      </c>
      <c r="C2616" s="11" t="str">
        <f t="shared" ca="1" si="81"/>
        <v/>
      </c>
    </row>
    <row r="2617" spans="2:3" x14ac:dyDescent="0.15">
      <c r="B2617" s="77" t="str">
        <f t="shared" ca="1" si="80"/>
        <v/>
      </c>
      <c r="C2617" s="11" t="str">
        <f t="shared" ca="1" si="81"/>
        <v/>
      </c>
    </row>
    <row r="2618" spans="2:3" x14ac:dyDescent="0.15">
      <c r="B2618" s="77" t="str">
        <f t="shared" ca="1" si="80"/>
        <v/>
      </c>
      <c r="C2618" s="11" t="str">
        <f t="shared" ca="1" si="81"/>
        <v/>
      </c>
    </row>
    <row r="2619" spans="2:3" x14ac:dyDescent="0.15">
      <c r="B2619" s="77" t="str">
        <f t="shared" ca="1" si="80"/>
        <v/>
      </c>
      <c r="C2619" s="11" t="str">
        <f t="shared" ca="1" si="81"/>
        <v/>
      </c>
    </row>
    <row r="2620" spans="2:3" x14ac:dyDescent="0.15">
      <c r="B2620" s="77" t="str">
        <f t="shared" ca="1" si="80"/>
        <v/>
      </c>
      <c r="C2620" s="11" t="str">
        <f t="shared" ca="1" si="81"/>
        <v/>
      </c>
    </row>
    <row r="2621" spans="2:3" x14ac:dyDescent="0.15">
      <c r="B2621" s="77" t="str">
        <f t="shared" ca="1" si="80"/>
        <v/>
      </c>
      <c r="C2621" s="11" t="str">
        <f t="shared" ca="1" si="81"/>
        <v/>
      </c>
    </row>
    <row r="2622" spans="2:3" x14ac:dyDescent="0.15">
      <c r="B2622" s="77" t="str">
        <f t="shared" ca="1" si="80"/>
        <v/>
      </c>
      <c r="C2622" s="11" t="str">
        <f t="shared" ca="1" si="81"/>
        <v/>
      </c>
    </row>
    <row r="2623" spans="2:3" x14ac:dyDescent="0.15">
      <c r="B2623" s="77" t="str">
        <f t="shared" ca="1" si="80"/>
        <v/>
      </c>
      <c r="C2623" s="11" t="str">
        <f t="shared" ca="1" si="81"/>
        <v/>
      </c>
    </row>
    <row r="2624" spans="2:3" x14ac:dyDescent="0.15">
      <c r="B2624" s="77" t="str">
        <f t="shared" ca="1" si="80"/>
        <v/>
      </c>
      <c r="C2624" s="11" t="str">
        <f t="shared" ca="1" si="81"/>
        <v/>
      </c>
    </row>
    <row r="2625" spans="2:3" x14ac:dyDescent="0.15">
      <c r="B2625" s="77" t="str">
        <f t="shared" ca="1" si="80"/>
        <v/>
      </c>
      <c r="C2625" s="11" t="str">
        <f t="shared" ca="1" si="81"/>
        <v/>
      </c>
    </row>
    <row r="2626" spans="2:3" x14ac:dyDescent="0.15">
      <c r="B2626" s="77" t="str">
        <f t="shared" ref="B2626:B2689" ca="1" si="82">IFERROR(VLOOKUP(TEXT(A2626,"00000000"),analysis_table_by_barcode,15,FALSE),"")</f>
        <v/>
      </c>
      <c r="C2626" s="11" t="str">
        <f t="shared" ref="C2626:C2689" ca="1" si="83">IF($B2626&lt;&gt;"", IF(VLOOKUP(B2626, final_to_ministry_result,2,FALSE)&lt;&gt;"",VLOOKUP(B2626, final_to_ministry_result,2,FALSE),""),"")</f>
        <v/>
      </c>
    </row>
    <row r="2627" spans="2:3" x14ac:dyDescent="0.15">
      <c r="B2627" s="77" t="str">
        <f t="shared" ca="1" si="82"/>
        <v/>
      </c>
      <c r="C2627" s="11" t="str">
        <f t="shared" ca="1" si="83"/>
        <v/>
      </c>
    </row>
    <row r="2628" spans="2:3" x14ac:dyDescent="0.15">
      <c r="B2628" s="77" t="str">
        <f t="shared" ca="1" si="82"/>
        <v/>
      </c>
      <c r="C2628" s="11" t="str">
        <f t="shared" ca="1" si="83"/>
        <v/>
      </c>
    </row>
    <row r="2629" spans="2:3" x14ac:dyDescent="0.15">
      <c r="B2629" s="77" t="str">
        <f t="shared" ca="1" si="82"/>
        <v/>
      </c>
      <c r="C2629" s="11" t="str">
        <f t="shared" ca="1" si="83"/>
        <v/>
      </c>
    </row>
    <row r="2630" spans="2:3" x14ac:dyDescent="0.15">
      <c r="B2630" s="77" t="str">
        <f t="shared" ca="1" si="82"/>
        <v/>
      </c>
      <c r="C2630" s="11" t="str">
        <f t="shared" ca="1" si="83"/>
        <v/>
      </c>
    </row>
    <row r="2631" spans="2:3" x14ac:dyDescent="0.15">
      <c r="B2631" s="77" t="str">
        <f t="shared" ca="1" si="82"/>
        <v/>
      </c>
      <c r="C2631" s="11" t="str">
        <f t="shared" ca="1" si="83"/>
        <v/>
      </c>
    </row>
    <row r="2632" spans="2:3" x14ac:dyDescent="0.15">
      <c r="B2632" s="77" t="str">
        <f t="shared" ca="1" si="82"/>
        <v/>
      </c>
      <c r="C2632" s="11" t="str">
        <f t="shared" ca="1" si="83"/>
        <v/>
      </c>
    </row>
    <row r="2633" spans="2:3" x14ac:dyDescent="0.15">
      <c r="B2633" s="77" t="str">
        <f t="shared" ca="1" si="82"/>
        <v/>
      </c>
      <c r="C2633" s="11" t="str">
        <f t="shared" ca="1" si="83"/>
        <v/>
      </c>
    </row>
    <row r="2634" spans="2:3" x14ac:dyDescent="0.15">
      <c r="B2634" s="77" t="str">
        <f t="shared" ca="1" si="82"/>
        <v/>
      </c>
      <c r="C2634" s="11" t="str">
        <f t="shared" ca="1" si="83"/>
        <v/>
      </c>
    </row>
    <row r="2635" spans="2:3" x14ac:dyDescent="0.15">
      <c r="B2635" s="77" t="str">
        <f t="shared" ca="1" si="82"/>
        <v/>
      </c>
      <c r="C2635" s="11" t="str">
        <f t="shared" ca="1" si="83"/>
        <v/>
      </c>
    </row>
    <row r="2636" spans="2:3" x14ac:dyDescent="0.15">
      <c r="B2636" s="77" t="str">
        <f t="shared" ca="1" si="82"/>
        <v/>
      </c>
      <c r="C2636" s="11" t="str">
        <f t="shared" ca="1" si="83"/>
        <v/>
      </c>
    </row>
    <row r="2637" spans="2:3" x14ac:dyDescent="0.15">
      <c r="B2637" s="77" t="str">
        <f t="shared" ca="1" si="82"/>
        <v/>
      </c>
      <c r="C2637" s="11" t="str">
        <f t="shared" ca="1" si="83"/>
        <v/>
      </c>
    </row>
    <row r="2638" spans="2:3" x14ac:dyDescent="0.15">
      <c r="B2638" s="77" t="str">
        <f t="shared" ca="1" si="82"/>
        <v/>
      </c>
      <c r="C2638" s="11" t="str">
        <f t="shared" ca="1" si="83"/>
        <v/>
      </c>
    </row>
    <row r="2639" spans="2:3" x14ac:dyDescent="0.15">
      <c r="B2639" s="77" t="str">
        <f t="shared" ca="1" si="82"/>
        <v/>
      </c>
      <c r="C2639" s="11" t="str">
        <f t="shared" ca="1" si="83"/>
        <v/>
      </c>
    </row>
    <row r="2640" spans="2:3" x14ac:dyDescent="0.15">
      <c r="B2640" s="77" t="str">
        <f t="shared" ca="1" si="82"/>
        <v/>
      </c>
      <c r="C2640" s="11" t="str">
        <f t="shared" ca="1" si="83"/>
        <v/>
      </c>
    </row>
    <row r="2641" spans="2:3" x14ac:dyDescent="0.15">
      <c r="B2641" s="77" t="str">
        <f t="shared" ca="1" si="82"/>
        <v/>
      </c>
      <c r="C2641" s="11" t="str">
        <f t="shared" ca="1" si="83"/>
        <v/>
      </c>
    </row>
    <row r="2642" spans="2:3" x14ac:dyDescent="0.15">
      <c r="B2642" s="77" t="str">
        <f t="shared" ca="1" si="82"/>
        <v/>
      </c>
      <c r="C2642" s="11" t="str">
        <f t="shared" ca="1" si="83"/>
        <v/>
      </c>
    </row>
    <row r="2643" spans="2:3" x14ac:dyDescent="0.15">
      <c r="B2643" s="77" t="str">
        <f t="shared" ca="1" si="82"/>
        <v/>
      </c>
      <c r="C2643" s="11" t="str">
        <f t="shared" ca="1" si="83"/>
        <v/>
      </c>
    </row>
    <row r="2644" spans="2:3" x14ac:dyDescent="0.15">
      <c r="B2644" s="77" t="str">
        <f t="shared" ca="1" si="82"/>
        <v/>
      </c>
      <c r="C2644" s="11" t="str">
        <f t="shared" ca="1" si="83"/>
        <v/>
      </c>
    </row>
    <row r="2645" spans="2:3" x14ac:dyDescent="0.15">
      <c r="B2645" s="77" t="str">
        <f t="shared" ca="1" si="82"/>
        <v/>
      </c>
      <c r="C2645" s="11" t="str">
        <f t="shared" ca="1" si="83"/>
        <v/>
      </c>
    </row>
    <row r="2646" spans="2:3" x14ac:dyDescent="0.15">
      <c r="B2646" s="77" t="str">
        <f t="shared" ca="1" si="82"/>
        <v/>
      </c>
      <c r="C2646" s="11" t="str">
        <f t="shared" ca="1" si="83"/>
        <v/>
      </c>
    </row>
    <row r="2647" spans="2:3" x14ac:dyDescent="0.15">
      <c r="B2647" s="77" t="str">
        <f t="shared" ca="1" si="82"/>
        <v/>
      </c>
      <c r="C2647" s="11" t="str">
        <f t="shared" ca="1" si="83"/>
        <v/>
      </c>
    </row>
    <row r="2648" spans="2:3" x14ac:dyDescent="0.15">
      <c r="B2648" s="77" t="str">
        <f t="shared" ca="1" si="82"/>
        <v/>
      </c>
      <c r="C2648" s="11" t="str">
        <f t="shared" ca="1" si="83"/>
        <v/>
      </c>
    </row>
    <row r="2649" spans="2:3" x14ac:dyDescent="0.15">
      <c r="B2649" s="77" t="str">
        <f t="shared" ca="1" si="82"/>
        <v/>
      </c>
      <c r="C2649" s="11" t="str">
        <f t="shared" ca="1" si="83"/>
        <v/>
      </c>
    </row>
    <row r="2650" spans="2:3" x14ac:dyDescent="0.15">
      <c r="B2650" s="77" t="str">
        <f t="shared" ca="1" si="82"/>
        <v/>
      </c>
      <c r="C2650" s="11" t="str">
        <f t="shared" ca="1" si="83"/>
        <v/>
      </c>
    </row>
    <row r="2651" spans="2:3" x14ac:dyDescent="0.15">
      <c r="B2651" s="77" t="str">
        <f t="shared" ca="1" si="82"/>
        <v/>
      </c>
      <c r="C2651" s="11" t="str">
        <f t="shared" ca="1" si="83"/>
        <v/>
      </c>
    </row>
    <row r="2652" spans="2:3" x14ac:dyDescent="0.15">
      <c r="B2652" s="77" t="str">
        <f t="shared" ca="1" si="82"/>
        <v/>
      </c>
      <c r="C2652" s="11" t="str">
        <f t="shared" ca="1" si="83"/>
        <v/>
      </c>
    </row>
    <row r="2653" spans="2:3" x14ac:dyDescent="0.15">
      <c r="B2653" s="77" t="str">
        <f t="shared" ca="1" si="82"/>
        <v/>
      </c>
      <c r="C2653" s="11" t="str">
        <f t="shared" ca="1" si="83"/>
        <v/>
      </c>
    </row>
    <row r="2654" spans="2:3" x14ac:dyDescent="0.15">
      <c r="B2654" s="77" t="str">
        <f t="shared" ca="1" si="82"/>
        <v/>
      </c>
      <c r="C2654" s="11" t="str">
        <f t="shared" ca="1" si="83"/>
        <v/>
      </c>
    </row>
    <row r="2655" spans="2:3" x14ac:dyDescent="0.15">
      <c r="B2655" s="77" t="str">
        <f t="shared" ca="1" si="82"/>
        <v/>
      </c>
      <c r="C2655" s="11" t="str">
        <f t="shared" ca="1" si="83"/>
        <v/>
      </c>
    </row>
    <row r="2656" spans="2:3" x14ac:dyDescent="0.15">
      <c r="B2656" s="77" t="str">
        <f t="shared" ca="1" si="82"/>
        <v/>
      </c>
      <c r="C2656" s="11" t="str">
        <f t="shared" ca="1" si="83"/>
        <v/>
      </c>
    </row>
    <row r="2657" spans="2:3" x14ac:dyDescent="0.15">
      <c r="B2657" s="77" t="str">
        <f t="shared" ca="1" si="82"/>
        <v/>
      </c>
      <c r="C2657" s="11" t="str">
        <f t="shared" ca="1" si="83"/>
        <v/>
      </c>
    </row>
    <row r="2658" spans="2:3" x14ac:dyDescent="0.15">
      <c r="B2658" s="77" t="str">
        <f t="shared" ca="1" si="82"/>
        <v/>
      </c>
      <c r="C2658" s="11" t="str">
        <f t="shared" ca="1" si="83"/>
        <v/>
      </c>
    </row>
    <row r="2659" spans="2:3" x14ac:dyDescent="0.15">
      <c r="B2659" s="77" t="str">
        <f t="shared" ca="1" si="82"/>
        <v/>
      </c>
      <c r="C2659" s="11" t="str">
        <f t="shared" ca="1" si="83"/>
        <v/>
      </c>
    </row>
    <row r="2660" spans="2:3" x14ac:dyDescent="0.15">
      <c r="B2660" s="77" t="str">
        <f t="shared" ca="1" si="82"/>
        <v/>
      </c>
      <c r="C2660" s="11" t="str">
        <f t="shared" ca="1" si="83"/>
        <v/>
      </c>
    </row>
    <row r="2661" spans="2:3" x14ac:dyDescent="0.15">
      <c r="B2661" s="77" t="str">
        <f t="shared" ca="1" si="82"/>
        <v/>
      </c>
      <c r="C2661" s="11" t="str">
        <f t="shared" ca="1" si="83"/>
        <v/>
      </c>
    </row>
    <row r="2662" spans="2:3" x14ac:dyDescent="0.15">
      <c r="B2662" s="77" t="str">
        <f t="shared" ca="1" si="82"/>
        <v/>
      </c>
      <c r="C2662" s="11" t="str">
        <f t="shared" ca="1" si="83"/>
        <v/>
      </c>
    </row>
    <row r="2663" spans="2:3" x14ac:dyDescent="0.15">
      <c r="B2663" s="77" t="str">
        <f t="shared" ca="1" si="82"/>
        <v/>
      </c>
      <c r="C2663" s="11" t="str">
        <f t="shared" ca="1" si="83"/>
        <v/>
      </c>
    </row>
    <row r="2664" spans="2:3" x14ac:dyDescent="0.15">
      <c r="B2664" s="77" t="str">
        <f t="shared" ca="1" si="82"/>
        <v/>
      </c>
      <c r="C2664" s="11" t="str">
        <f t="shared" ca="1" si="83"/>
        <v/>
      </c>
    </row>
    <row r="2665" spans="2:3" x14ac:dyDescent="0.15">
      <c r="B2665" s="77" t="str">
        <f t="shared" ca="1" si="82"/>
        <v/>
      </c>
      <c r="C2665" s="11" t="str">
        <f t="shared" ca="1" si="83"/>
        <v/>
      </c>
    </row>
    <row r="2666" spans="2:3" x14ac:dyDescent="0.15">
      <c r="B2666" s="77" t="str">
        <f t="shared" ca="1" si="82"/>
        <v/>
      </c>
      <c r="C2666" s="11" t="str">
        <f t="shared" ca="1" si="83"/>
        <v/>
      </c>
    </row>
    <row r="2667" spans="2:3" x14ac:dyDescent="0.15">
      <c r="B2667" s="77" t="str">
        <f t="shared" ca="1" si="82"/>
        <v/>
      </c>
      <c r="C2667" s="11" t="str">
        <f t="shared" ca="1" si="83"/>
        <v/>
      </c>
    </row>
    <row r="2668" spans="2:3" x14ac:dyDescent="0.15">
      <c r="B2668" s="77" t="str">
        <f t="shared" ca="1" si="82"/>
        <v/>
      </c>
      <c r="C2668" s="11" t="str">
        <f t="shared" ca="1" si="83"/>
        <v/>
      </c>
    </row>
    <row r="2669" spans="2:3" x14ac:dyDescent="0.15">
      <c r="B2669" s="77" t="str">
        <f t="shared" ca="1" si="82"/>
        <v/>
      </c>
      <c r="C2669" s="11" t="str">
        <f t="shared" ca="1" si="83"/>
        <v/>
      </c>
    </row>
    <row r="2670" spans="2:3" x14ac:dyDescent="0.15">
      <c r="B2670" s="77" t="str">
        <f t="shared" ca="1" si="82"/>
        <v/>
      </c>
      <c r="C2670" s="11" t="str">
        <f t="shared" ca="1" si="83"/>
        <v/>
      </c>
    </row>
    <row r="2671" spans="2:3" x14ac:dyDescent="0.15">
      <c r="B2671" s="77" t="str">
        <f t="shared" ca="1" si="82"/>
        <v/>
      </c>
      <c r="C2671" s="11" t="str">
        <f t="shared" ca="1" si="83"/>
        <v/>
      </c>
    </row>
    <row r="2672" spans="2:3" x14ac:dyDescent="0.15">
      <c r="B2672" s="77" t="str">
        <f t="shared" ca="1" si="82"/>
        <v/>
      </c>
      <c r="C2672" s="11" t="str">
        <f t="shared" ca="1" si="83"/>
        <v/>
      </c>
    </row>
    <row r="2673" spans="2:3" x14ac:dyDescent="0.15">
      <c r="B2673" s="77" t="str">
        <f t="shared" ca="1" si="82"/>
        <v/>
      </c>
      <c r="C2673" s="11" t="str">
        <f t="shared" ca="1" si="83"/>
        <v/>
      </c>
    </row>
    <row r="2674" spans="2:3" x14ac:dyDescent="0.15">
      <c r="B2674" s="77" t="str">
        <f t="shared" ca="1" si="82"/>
        <v/>
      </c>
      <c r="C2674" s="11" t="str">
        <f t="shared" ca="1" si="83"/>
        <v/>
      </c>
    </row>
    <row r="2675" spans="2:3" x14ac:dyDescent="0.15">
      <c r="B2675" s="77" t="str">
        <f t="shared" ca="1" si="82"/>
        <v/>
      </c>
      <c r="C2675" s="11" t="str">
        <f t="shared" ca="1" si="83"/>
        <v/>
      </c>
    </row>
    <row r="2676" spans="2:3" x14ac:dyDescent="0.15">
      <c r="B2676" s="77" t="str">
        <f t="shared" ca="1" si="82"/>
        <v/>
      </c>
      <c r="C2676" s="11" t="str">
        <f t="shared" ca="1" si="83"/>
        <v/>
      </c>
    </row>
    <row r="2677" spans="2:3" x14ac:dyDescent="0.15">
      <c r="B2677" s="77" t="str">
        <f t="shared" ca="1" si="82"/>
        <v/>
      </c>
      <c r="C2677" s="11" t="str">
        <f t="shared" ca="1" si="83"/>
        <v/>
      </c>
    </row>
    <row r="2678" spans="2:3" x14ac:dyDescent="0.15">
      <c r="B2678" s="77" t="str">
        <f t="shared" ca="1" si="82"/>
        <v/>
      </c>
      <c r="C2678" s="11" t="str">
        <f t="shared" ca="1" si="83"/>
        <v/>
      </c>
    </row>
    <row r="2679" spans="2:3" x14ac:dyDescent="0.15">
      <c r="B2679" s="77" t="str">
        <f t="shared" ca="1" si="82"/>
        <v/>
      </c>
      <c r="C2679" s="11" t="str">
        <f t="shared" ca="1" si="83"/>
        <v/>
      </c>
    </row>
    <row r="2680" spans="2:3" x14ac:dyDescent="0.15">
      <c r="B2680" s="77" t="str">
        <f t="shared" ca="1" si="82"/>
        <v/>
      </c>
      <c r="C2680" s="11" t="str">
        <f t="shared" ca="1" si="83"/>
        <v/>
      </c>
    </row>
    <row r="2681" spans="2:3" x14ac:dyDescent="0.15">
      <c r="B2681" s="77" t="str">
        <f t="shared" ca="1" si="82"/>
        <v/>
      </c>
      <c r="C2681" s="11" t="str">
        <f t="shared" ca="1" si="83"/>
        <v/>
      </c>
    </row>
    <row r="2682" spans="2:3" x14ac:dyDescent="0.15">
      <c r="B2682" s="77" t="str">
        <f t="shared" ca="1" si="82"/>
        <v/>
      </c>
      <c r="C2682" s="11" t="str">
        <f t="shared" ca="1" si="83"/>
        <v/>
      </c>
    </row>
    <row r="2683" spans="2:3" x14ac:dyDescent="0.15">
      <c r="B2683" s="77" t="str">
        <f t="shared" ca="1" si="82"/>
        <v/>
      </c>
      <c r="C2683" s="11" t="str">
        <f t="shared" ca="1" si="83"/>
        <v/>
      </c>
    </row>
    <row r="2684" spans="2:3" x14ac:dyDescent="0.15">
      <c r="B2684" s="77" t="str">
        <f t="shared" ca="1" si="82"/>
        <v/>
      </c>
      <c r="C2684" s="11" t="str">
        <f t="shared" ca="1" si="83"/>
        <v/>
      </c>
    </row>
    <row r="2685" spans="2:3" x14ac:dyDescent="0.15">
      <c r="B2685" s="77" t="str">
        <f t="shared" ca="1" si="82"/>
        <v/>
      </c>
      <c r="C2685" s="11" t="str">
        <f t="shared" ca="1" si="83"/>
        <v/>
      </c>
    </row>
    <row r="2686" spans="2:3" x14ac:dyDescent="0.15">
      <c r="B2686" s="77" t="str">
        <f t="shared" ca="1" si="82"/>
        <v/>
      </c>
      <c r="C2686" s="11" t="str">
        <f t="shared" ca="1" si="83"/>
        <v/>
      </c>
    </row>
    <row r="2687" spans="2:3" x14ac:dyDescent="0.15">
      <c r="B2687" s="77" t="str">
        <f t="shared" ca="1" si="82"/>
        <v/>
      </c>
      <c r="C2687" s="11" t="str">
        <f t="shared" ca="1" si="83"/>
        <v/>
      </c>
    </row>
    <row r="2688" spans="2:3" x14ac:dyDescent="0.15">
      <c r="B2688" s="77" t="str">
        <f t="shared" ca="1" si="82"/>
        <v/>
      </c>
      <c r="C2688" s="11" t="str">
        <f t="shared" ca="1" si="83"/>
        <v/>
      </c>
    </row>
    <row r="2689" spans="2:3" x14ac:dyDescent="0.15">
      <c r="B2689" s="77" t="str">
        <f t="shared" ca="1" si="82"/>
        <v/>
      </c>
      <c r="C2689" s="11" t="str">
        <f t="shared" ca="1" si="83"/>
        <v/>
      </c>
    </row>
    <row r="2690" spans="2:3" x14ac:dyDescent="0.15">
      <c r="B2690" s="77" t="str">
        <f t="shared" ref="B2690:B2753" ca="1" si="84">IFERROR(VLOOKUP(TEXT(A2690,"00000000"),analysis_table_by_barcode,15,FALSE),"")</f>
        <v/>
      </c>
      <c r="C2690" s="11" t="str">
        <f t="shared" ref="C2690:C2753" ca="1" si="85">IF($B2690&lt;&gt;"", IF(VLOOKUP(B2690, final_to_ministry_result,2,FALSE)&lt;&gt;"",VLOOKUP(B2690, final_to_ministry_result,2,FALSE),""),"")</f>
        <v/>
      </c>
    </row>
    <row r="2691" spans="2:3" x14ac:dyDescent="0.15">
      <c r="B2691" s="77" t="str">
        <f t="shared" ca="1" si="84"/>
        <v/>
      </c>
      <c r="C2691" s="11" t="str">
        <f t="shared" ca="1" si="85"/>
        <v/>
      </c>
    </row>
    <row r="2692" spans="2:3" x14ac:dyDescent="0.15">
      <c r="B2692" s="77" t="str">
        <f t="shared" ca="1" si="84"/>
        <v/>
      </c>
      <c r="C2692" s="11" t="str">
        <f t="shared" ca="1" si="85"/>
        <v/>
      </c>
    </row>
    <row r="2693" spans="2:3" x14ac:dyDescent="0.15">
      <c r="B2693" s="77" t="str">
        <f t="shared" ca="1" si="84"/>
        <v/>
      </c>
      <c r="C2693" s="11" t="str">
        <f t="shared" ca="1" si="85"/>
        <v/>
      </c>
    </row>
    <row r="2694" spans="2:3" x14ac:dyDescent="0.15">
      <c r="B2694" s="77" t="str">
        <f t="shared" ca="1" si="84"/>
        <v/>
      </c>
      <c r="C2694" s="11" t="str">
        <f t="shared" ca="1" si="85"/>
        <v/>
      </c>
    </row>
    <row r="2695" spans="2:3" x14ac:dyDescent="0.15">
      <c r="B2695" s="77" t="str">
        <f t="shared" ca="1" si="84"/>
        <v/>
      </c>
      <c r="C2695" s="11" t="str">
        <f t="shared" ca="1" si="85"/>
        <v/>
      </c>
    </row>
    <row r="2696" spans="2:3" x14ac:dyDescent="0.15">
      <c r="B2696" s="77" t="str">
        <f t="shared" ca="1" si="84"/>
        <v/>
      </c>
      <c r="C2696" s="11" t="str">
        <f t="shared" ca="1" si="85"/>
        <v/>
      </c>
    </row>
    <row r="2697" spans="2:3" x14ac:dyDescent="0.15">
      <c r="B2697" s="77" t="str">
        <f t="shared" ca="1" si="84"/>
        <v/>
      </c>
      <c r="C2697" s="11" t="str">
        <f t="shared" ca="1" si="85"/>
        <v/>
      </c>
    </row>
    <row r="2698" spans="2:3" x14ac:dyDescent="0.15">
      <c r="B2698" s="77" t="str">
        <f t="shared" ca="1" si="84"/>
        <v/>
      </c>
      <c r="C2698" s="11" t="str">
        <f t="shared" ca="1" si="85"/>
        <v/>
      </c>
    </row>
    <row r="2699" spans="2:3" x14ac:dyDescent="0.15">
      <c r="B2699" s="77" t="str">
        <f t="shared" ca="1" si="84"/>
        <v/>
      </c>
      <c r="C2699" s="11" t="str">
        <f t="shared" ca="1" si="85"/>
        <v/>
      </c>
    </row>
    <row r="2700" spans="2:3" x14ac:dyDescent="0.15">
      <c r="B2700" s="77" t="str">
        <f t="shared" ca="1" si="84"/>
        <v/>
      </c>
      <c r="C2700" s="11" t="str">
        <f t="shared" ca="1" si="85"/>
        <v/>
      </c>
    </row>
    <row r="2701" spans="2:3" x14ac:dyDescent="0.15">
      <c r="B2701" s="77" t="str">
        <f t="shared" ca="1" si="84"/>
        <v/>
      </c>
      <c r="C2701" s="11" t="str">
        <f t="shared" ca="1" si="85"/>
        <v/>
      </c>
    </row>
    <row r="2702" spans="2:3" x14ac:dyDescent="0.15">
      <c r="B2702" s="77" t="str">
        <f t="shared" ca="1" si="84"/>
        <v/>
      </c>
      <c r="C2702" s="11" t="str">
        <f t="shared" ca="1" si="85"/>
        <v/>
      </c>
    </row>
    <row r="2703" spans="2:3" x14ac:dyDescent="0.15">
      <c r="B2703" s="77" t="str">
        <f t="shared" ca="1" si="84"/>
        <v/>
      </c>
      <c r="C2703" s="11" t="str">
        <f t="shared" ca="1" si="85"/>
        <v/>
      </c>
    </row>
    <row r="2704" spans="2:3" x14ac:dyDescent="0.15">
      <c r="B2704" s="77" t="str">
        <f t="shared" ca="1" si="84"/>
        <v/>
      </c>
      <c r="C2704" s="11" t="str">
        <f t="shared" ca="1" si="85"/>
        <v/>
      </c>
    </row>
    <row r="2705" spans="2:3" x14ac:dyDescent="0.15">
      <c r="B2705" s="77" t="str">
        <f t="shared" ca="1" si="84"/>
        <v/>
      </c>
      <c r="C2705" s="11" t="str">
        <f t="shared" ca="1" si="85"/>
        <v/>
      </c>
    </row>
    <row r="2706" spans="2:3" x14ac:dyDescent="0.15">
      <c r="B2706" s="77" t="str">
        <f t="shared" ca="1" si="84"/>
        <v/>
      </c>
      <c r="C2706" s="11" t="str">
        <f t="shared" ca="1" si="85"/>
        <v/>
      </c>
    </row>
    <row r="2707" spans="2:3" x14ac:dyDescent="0.15">
      <c r="B2707" s="77" t="str">
        <f t="shared" ca="1" si="84"/>
        <v/>
      </c>
      <c r="C2707" s="11" t="str">
        <f t="shared" ca="1" si="85"/>
        <v/>
      </c>
    </row>
    <row r="2708" spans="2:3" x14ac:dyDescent="0.15">
      <c r="B2708" s="77" t="str">
        <f t="shared" ca="1" si="84"/>
        <v/>
      </c>
      <c r="C2708" s="11" t="str">
        <f t="shared" ca="1" si="85"/>
        <v/>
      </c>
    </row>
    <row r="2709" spans="2:3" x14ac:dyDescent="0.15">
      <c r="B2709" s="77" t="str">
        <f t="shared" ca="1" si="84"/>
        <v/>
      </c>
      <c r="C2709" s="11" t="str">
        <f t="shared" ca="1" si="85"/>
        <v/>
      </c>
    </row>
    <row r="2710" spans="2:3" x14ac:dyDescent="0.15">
      <c r="B2710" s="77" t="str">
        <f t="shared" ca="1" si="84"/>
        <v/>
      </c>
      <c r="C2710" s="11" t="str">
        <f t="shared" ca="1" si="85"/>
        <v/>
      </c>
    </row>
    <row r="2711" spans="2:3" x14ac:dyDescent="0.15">
      <c r="B2711" s="77" t="str">
        <f t="shared" ca="1" si="84"/>
        <v/>
      </c>
      <c r="C2711" s="11" t="str">
        <f t="shared" ca="1" si="85"/>
        <v/>
      </c>
    </row>
    <row r="2712" spans="2:3" x14ac:dyDescent="0.15">
      <c r="B2712" s="77" t="str">
        <f t="shared" ca="1" si="84"/>
        <v/>
      </c>
      <c r="C2712" s="11" t="str">
        <f t="shared" ca="1" si="85"/>
        <v/>
      </c>
    </row>
    <row r="2713" spans="2:3" x14ac:dyDescent="0.15">
      <c r="B2713" s="77" t="str">
        <f t="shared" ca="1" si="84"/>
        <v/>
      </c>
      <c r="C2713" s="11" t="str">
        <f t="shared" ca="1" si="85"/>
        <v/>
      </c>
    </row>
    <row r="2714" spans="2:3" x14ac:dyDescent="0.15">
      <c r="B2714" s="77" t="str">
        <f t="shared" ca="1" si="84"/>
        <v/>
      </c>
      <c r="C2714" s="11" t="str">
        <f t="shared" ca="1" si="85"/>
        <v/>
      </c>
    </row>
    <row r="2715" spans="2:3" x14ac:dyDescent="0.15">
      <c r="B2715" s="77" t="str">
        <f t="shared" ca="1" si="84"/>
        <v/>
      </c>
      <c r="C2715" s="11" t="str">
        <f t="shared" ca="1" si="85"/>
        <v/>
      </c>
    </row>
    <row r="2716" spans="2:3" x14ac:dyDescent="0.15">
      <c r="B2716" s="77" t="str">
        <f t="shared" ca="1" si="84"/>
        <v/>
      </c>
      <c r="C2716" s="11" t="str">
        <f t="shared" ca="1" si="85"/>
        <v/>
      </c>
    </row>
    <row r="2717" spans="2:3" x14ac:dyDescent="0.15">
      <c r="B2717" s="77" t="str">
        <f t="shared" ca="1" si="84"/>
        <v/>
      </c>
      <c r="C2717" s="11" t="str">
        <f t="shared" ca="1" si="85"/>
        <v/>
      </c>
    </row>
    <row r="2718" spans="2:3" x14ac:dyDescent="0.15">
      <c r="B2718" s="77" t="str">
        <f t="shared" ca="1" si="84"/>
        <v/>
      </c>
      <c r="C2718" s="11" t="str">
        <f t="shared" ca="1" si="85"/>
        <v/>
      </c>
    </row>
    <row r="2719" spans="2:3" x14ac:dyDescent="0.15">
      <c r="B2719" s="77" t="str">
        <f t="shared" ca="1" si="84"/>
        <v/>
      </c>
      <c r="C2719" s="11" t="str">
        <f t="shared" ca="1" si="85"/>
        <v/>
      </c>
    </row>
    <row r="2720" spans="2:3" x14ac:dyDescent="0.15">
      <c r="B2720" s="77" t="str">
        <f t="shared" ca="1" si="84"/>
        <v/>
      </c>
      <c r="C2720" s="11" t="str">
        <f t="shared" ca="1" si="85"/>
        <v/>
      </c>
    </row>
    <row r="2721" spans="2:3" x14ac:dyDescent="0.15">
      <c r="B2721" s="77" t="str">
        <f t="shared" ca="1" si="84"/>
        <v/>
      </c>
      <c r="C2721" s="11" t="str">
        <f t="shared" ca="1" si="85"/>
        <v/>
      </c>
    </row>
    <row r="2722" spans="2:3" x14ac:dyDescent="0.15">
      <c r="B2722" s="77" t="str">
        <f t="shared" ca="1" si="84"/>
        <v/>
      </c>
      <c r="C2722" s="11" t="str">
        <f t="shared" ca="1" si="85"/>
        <v/>
      </c>
    </row>
    <row r="2723" spans="2:3" x14ac:dyDescent="0.15">
      <c r="B2723" s="77" t="str">
        <f t="shared" ca="1" si="84"/>
        <v/>
      </c>
      <c r="C2723" s="11" t="str">
        <f t="shared" ca="1" si="85"/>
        <v/>
      </c>
    </row>
    <row r="2724" spans="2:3" x14ac:dyDescent="0.15">
      <c r="B2724" s="77" t="str">
        <f t="shared" ca="1" si="84"/>
        <v/>
      </c>
      <c r="C2724" s="11" t="str">
        <f t="shared" ca="1" si="85"/>
        <v/>
      </c>
    </row>
    <row r="2725" spans="2:3" x14ac:dyDescent="0.15">
      <c r="B2725" s="77" t="str">
        <f t="shared" ca="1" si="84"/>
        <v/>
      </c>
      <c r="C2725" s="11" t="str">
        <f t="shared" ca="1" si="85"/>
        <v/>
      </c>
    </row>
    <row r="2726" spans="2:3" x14ac:dyDescent="0.15">
      <c r="B2726" s="77" t="str">
        <f t="shared" ca="1" si="84"/>
        <v/>
      </c>
      <c r="C2726" s="11" t="str">
        <f t="shared" ca="1" si="85"/>
        <v/>
      </c>
    </row>
    <row r="2727" spans="2:3" x14ac:dyDescent="0.15">
      <c r="B2727" s="77" t="str">
        <f t="shared" ca="1" si="84"/>
        <v/>
      </c>
      <c r="C2727" s="11" t="str">
        <f t="shared" ca="1" si="85"/>
        <v/>
      </c>
    </row>
    <row r="2728" spans="2:3" x14ac:dyDescent="0.15">
      <c r="B2728" s="77" t="str">
        <f t="shared" ca="1" si="84"/>
        <v/>
      </c>
      <c r="C2728" s="11" t="str">
        <f t="shared" ca="1" si="85"/>
        <v/>
      </c>
    </row>
    <row r="2729" spans="2:3" x14ac:dyDescent="0.15">
      <c r="B2729" s="77" t="str">
        <f t="shared" ca="1" si="84"/>
        <v/>
      </c>
      <c r="C2729" s="11" t="str">
        <f t="shared" ca="1" si="85"/>
        <v/>
      </c>
    </row>
    <row r="2730" spans="2:3" x14ac:dyDescent="0.15">
      <c r="B2730" s="77" t="str">
        <f t="shared" ca="1" si="84"/>
        <v/>
      </c>
      <c r="C2730" s="11" t="str">
        <f t="shared" ca="1" si="85"/>
        <v/>
      </c>
    </row>
    <row r="2731" spans="2:3" x14ac:dyDescent="0.15">
      <c r="B2731" s="77" t="str">
        <f t="shared" ca="1" si="84"/>
        <v/>
      </c>
      <c r="C2731" s="11" t="str">
        <f t="shared" ca="1" si="85"/>
        <v/>
      </c>
    </row>
    <row r="2732" spans="2:3" x14ac:dyDescent="0.15">
      <c r="B2732" s="77" t="str">
        <f t="shared" ca="1" si="84"/>
        <v/>
      </c>
      <c r="C2732" s="11" t="str">
        <f t="shared" ca="1" si="85"/>
        <v/>
      </c>
    </row>
    <row r="2733" spans="2:3" x14ac:dyDescent="0.15">
      <c r="B2733" s="77" t="str">
        <f t="shared" ca="1" si="84"/>
        <v/>
      </c>
      <c r="C2733" s="11" t="str">
        <f t="shared" ca="1" si="85"/>
        <v/>
      </c>
    </row>
    <row r="2734" spans="2:3" x14ac:dyDescent="0.15">
      <c r="B2734" s="77" t="str">
        <f t="shared" ca="1" si="84"/>
        <v/>
      </c>
      <c r="C2734" s="11" t="str">
        <f t="shared" ca="1" si="85"/>
        <v/>
      </c>
    </row>
    <row r="2735" spans="2:3" x14ac:dyDescent="0.15">
      <c r="B2735" s="77" t="str">
        <f t="shared" ca="1" si="84"/>
        <v/>
      </c>
      <c r="C2735" s="11" t="str">
        <f t="shared" ca="1" si="85"/>
        <v/>
      </c>
    </row>
    <row r="2736" spans="2:3" x14ac:dyDescent="0.15">
      <c r="B2736" s="77" t="str">
        <f t="shared" ca="1" si="84"/>
        <v/>
      </c>
      <c r="C2736" s="11" t="str">
        <f t="shared" ca="1" si="85"/>
        <v/>
      </c>
    </row>
    <row r="2737" spans="2:3" x14ac:dyDescent="0.15">
      <c r="B2737" s="77" t="str">
        <f t="shared" ca="1" si="84"/>
        <v/>
      </c>
      <c r="C2737" s="11" t="str">
        <f t="shared" ca="1" si="85"/>
        <v/>
      </c>
    </row>
    <row r="2738" spans="2:3" x14ac:dyDescent="0.15">
      <c r="B2738" s="77" t="str">
        <f t="shared" ca="1" si="84"/>
        <v/>
      </c>
      <c r="C2738" s="11" t="str">
        <f t="shared" ca="1" si="85"/>
        <v/>
      </c>
    </row>
    <row r="2739" spans="2:3" x14ac:dyDescent="0.15">
      <c r="B2739" s="77" t="str">
        <f t="shared" ca="1" si="84"/>
        <v/>
      </c>
      <c r="C2739" s="11" t="str">
        <f t="shared" ca="1" si="85"/>
        <v/>
      </c>
    </row>
    <row r="2740" spans="2:3" x14ac:dyDescent="0.15">
      <c r="B2740" s="77" t="str">
        <f t="shared" ca="1" si="84"/>
        <v/>
      </c>
      <c r="C2740" s="11" t="str">
        <f t="shared" ca="1" si="85"/>
        <v/>
      </c>
    </row>
    <row r="2741" spans="2:3" x14ac:dyDescent="0.15">
      <c r="B2741" s="77" t="str">
        <f t="shared" ca="1" si="84"/>
        <v/>
      </c>
      <c r="C2741" s="11" t="str">
        <f t="shared" ca="1" si="85"/>
        <v/>
      </c>
    </row>
    <row r="2742" spans="2:3" x14ac:dyDescent="0.15">
      <c r="B2742" s="77" t="str">
        <f t="shared" ca="1" si="84"/>
        <v/>
      </c>
      <c r="C2742" s="11" t="str">
        <f t="shared" ca="1" si="85"/>
        <v/>
      </c>
    </row>
    <row r="2743" spans="2:3" x14ac:dyDescent="0.15">
      <c r="B2743" s="77" t="str">
        <f t="shared" ca="1" si="84"/>
        <v/>
      </c>
      <c r="C2743" s="11" t="str">
        <f t="shared" ca="1" si="85"/>
        <v/>
      </c>
    </row>
    <row r="2744" spans="2:3" x14ac:dyDescent="0.15">
      <c r="B2744" s="77" t="str">
        <f t="shared" ca="1" si="84"/>
        <v/>
      </c>
      <c r="C2744" s="11" t="str">
        <f t="shared" ca="1" si="85"/>
        <v/>
      </c>
    </row>
    <row r="2745" spans="2:3" x14ac:dyDescent="0.15">
      <c r="B2745" s="77" t="str">
        <f t="shared" ca="1" si="84"/>
        <v/>
      </c>
      <c r="C2745" s="11" t="str">
        <f t="shared" ca="1" si="85"/>
        <v/>
      </c>
    </row>
    <row r="2746" spans="2:3" x14ac:dyDescent="0.15">
      <c r="B2746" s="77" t="str">
        <f t="shared" ca="1" si="84"/>
        <v/>
      </c>
      <c r="C2746" s="11" t="str">
        <f t="shared" ca="1" si="85"/>
        <v/>
      </c>
    </row>
    <row r="2747" spans="2:3" x14ac:dyDescent="0.15">
      <c r="B2747" s="77" t="str">
        <f t="shared" ca="1" si="84"/>
        <v/>
      </c>
      <c r="C2747" s="11" t="str">
        <f t="shared" ca="1" si="85"/>
        <v/>
      </c>
    </row>
    <row r="2748" spans="2:3" x14ac:dyDescent="0.15">
      <c r="B2748" s="77" t="str">
        <f t="shared" ca="1" si="84"/>
        <v/>
      </c>
      <c r="C2748" s="11" t="str">
        <f t="shared" ca="1" si="85"/>
        <v/>
      </c>
    </row>
    <row r="2749" spans="2:3" x14ac:dyDescent="0.15">
      <c r="B2749" s="77" t="str">
        <f t="shared" ca="1" si="84"/>
        <v/>
      </c>
      <c r="C2749" s="11" t="str">
        <f t="shared" ca="1" si="85"/>
        <v/>
      </c>
    </row>
    <row r="2750" spans="2:3" x14ac:dyDescent="0.15">
      <c r="B2750" s="77" t="str">
        <f t="shared" ca="1" si="84"/>
        <v/>
      </c>
      <c r="C2750" s="11" t="str">
        <f t="shared" ca="1" si="85"/>
        <v/>
      </c>
    </row>
    <row r="2751" spans="2:3" x14ac:dyDescent="0.15">
      <c r="B2751" s="77" t="str">
        <f t="shared" ca="1" si="84"/>
        <v/>
      </c>
      <c r="C2751" s="11" t="str">
        <f t="shared" ca="1" si="85"/>
        <v/>
      </c>
    </row>
    <row r="2752" spans="2:3" x14ac:dyDescent="0.15">
      <c r="B2752" s="77" t="str">
        <f t="shared" ca="1" si="84"/>
        <v/>
      </c>
      <c r="C2752" s="11" t="str">
        <f t="shared" ca="1" si="85"/>
        <v/>
      </c>
    </row>
    <row r="2753" spans="2:3" x14ac:dyDescent="0.15">
      <c r="B2753" s="77" t="str">
        <f t="shared" ca="1" si="84"/>
        <v/>
      </c>
      <c r="C2753" s="11" t="str">
        <f t="shared" ca="1" si="85"/>
        <v/>
      </c>
    </row>
    <row r="2754" spans="2:3" x14ac:dyDescent="0.15">
      <c r="B2754" s="77" t="str">
        <f t="shared" ref="B2754:B2817" ca="1" si="86">IFERROR(VLOOKUP(TEXT(A2754,"00000000"),analysis_table_by_barcode,15,FALSE),"")</f>
        <v/>
      </c>
      <c r="C2754" s="11" t="str">
        <f t="shared" ref="C2754:C2817" ca="1" si="87">IF($B2754&lt;&gt;"", IF(VLOOKUP(B2754, final_to_ministry_result,2,FALSE)&lt;&gt;"",VLOOKUP(B2754, final_to_ministry_result,2,FALSE),""),"")</f>
        <v/>
      </c>
    </row>
    <row r="2755" spans="2:3" x14ac:dyDescent="0.15">
      <c r="B2755" s="77" t="str">
        <f t="shared" ca="1" si="86"/>
        <v/>
      </c>
      <c r="C2755" s="11" t="str">
        <f t="shared" ca="1" si="87"/>
        <v/>
      </c>
    </row>
    <row r="2756" spans="2:3" x14ac:dyDescent="0.15">
      <c r="B2756" s="77" t="str">
        <f t="shared" ca="1" si="86"/>
        <v/>
      </c>
      <c r="C2756" s="11" t="str">
        <f t="shared" ca="1" si="87"/>
        <v/>
      </c>
    </row>
    <row r="2757" spans="2:3" x14ac:dyDescent="0.15">
      <c r="B2757" s="77" t="str">
        <f t="shared" ca="1" si="86"/>
        <v/>
      </c>
      <c r="C2757" s="11" t="str">
        <f t="shared" ca="1" si="87"/>
        <v/>
      </c>
    </row>
    <row r="2758" spans="2:3" x14ac:dyDescent="0.15">
      <c r="B2758" s="77" t="str">
        <f t="shared" ca="1" si="86"/>
        <v/>
      </c>
      <c r="C2758" s="11" t="str">
        <f t="shared" ca="1" si="87"/>
        <v/>
      </c>
    </row>
    <row r="2759" spans="2:3" x14ac:dyDescent="0.15">
      <c r="B2759" s="77" t="str">
        <f t="shared" ca="1" si="86"/>
        <v/>
      </c>
      <c r="C2759" s="11" t="str">
        <f t="shared" ca="1" si="87"/>
        <v/>
      </c>
    </row>
    <row r="2760" spans="2:3" x14ac:dyDescent="0.15">
      <c r="B2760" s="77" t="str">
        <f t="shared" ca="1" si="86"/>
        <v/>
      </c>
      <c r="C2760" s="11" t="str">
        <f t="shared" ca="1" si="87"/>
        <v/>
      </c>
    </row>
    <row r="2761" spans="2:3" x14ac:dyDescent="0.15">
      <c r="B2761" s="77" t="str">
        <f t="shared" ca="1" si="86"/>
        <v/>
      </c>
      <c r="C2761" s="11" t="str">
        <f t="shared" ca="1" si="87"/>
        <v/>
      </c>
    </row>
    <row r="2762" spans="2:3" x14ac:dyDescent="0.15">
      <c r="B2762" s="77" t="str">
        <f t="shared" ca="1" si="86"/>
        <v/>
      </c>
      <c r="C2762" s="11" t="str">
        <f t="shared" ca="1" si="87"/>
        <v/>
      </c>
    </row>
    <row r="2763" spans="2:3" x14ac:dyDescent="0.15">
      <c r="B2763" s="77" t="str">
        <f t="shared" ca="1" si="86"/>
        <v/>
      </c>
      <c r="C2763" s="11" t="str">
        <f t="shared" ca="1" si="87"/>
        <v/>
      </c>
    </row>
    <row r="2764" spans="2:3" x14ac:dyDescent="0.15">
      <c r="B2764" s="77" t="str">
        <f t="shared" ca="1" si="86"/>
        <v/>
      </c>
      <c r="C2764" s="11" t="str">
        <f t="shared" ca="1" si="87"/>
        <v/>
      </c>
    </row>
    <row r="2765" spans="2:3" x14ac:dyDescent="0.15">
      <c r="B2765" s="77" t="str">
        <f t="shared" ca="1" si="86"/>
        <v/>
      </c>
      <c r="C2765" s="11" t="str">
        <f t="shared" ca="1" si="87"/>
        <v/>
      </c>
    </row>
    <row r="2766" spans="2:3" x14ac:dyDescent="0.15">
      <c r="B2766" s="77" t="str">
        <f t="shared" ca="1" si="86"/>
        <v/>
      </c>
      <c r="C2766" s="11" t="str">
        <f t="shared" ca="1" si="87"/>
        <v/>
      </c>
    </row>
    <row r="2767" spans="2:3" x14ac:dyDescent="0.15">
      <c r="B2767" s="77" t="str">
        <f t="shared" ca="1" si="86"/>
        <v/>
      </c>
      <c r="C2767" s="11" t="str">
        <f t="shared" ca="1" si="87"/>
        <v/>
      </c>
    </row>
    <row r="2768" spans="2:3" x14ac:dyDescent="0.15">
      <c r="B2768" s="77" t="str">
        <f t="shared" ca="1" si="86"/>
        <v/>
      </c>
      <c r="C2768" s="11" t="str">
        <f t="shared" ca="1" si="87"/>
        <v/>
      </c>
    </row>
    <row r="2769" spans="2:3" x14ac:dyDescent="0.15">
      <c r="B2769" s="77" t="str">
        <f t="shared" ca="1" si="86"/>
        <v/>
      </c>
      <c r="C2769" s="11" t="str">
        <f t="shared" ca="1" si="87"/>
        <v/>
      </c>
    </row>
    <row r="2770" spans="2:3" x14ac:dyDescent="0.15">
      <c r="B2770" s="77" t="str">
        <f t="shared" ca="1" si="86"/>
        <v/>
      </c>
      <c r="C2770" s="11" t="str">
        <f t="shared" ca="1" si="87"/>
        <v/>
      </c>
    </row>
    <row r="2771" spans="2:3" x14ac:dyDescent="0.15">
      <c r="B2771" s="77" t="str">
        <f t="shared" ca="1" si="86"/>
        <v/>
      </c>
      <c r="C2771" s="11" t="str">
        <f t="shared" ca="1" si="87"/>
        <v/>
      </c>
    </row>
    <row r="2772" spans="2:3" x14ac:dyDescent="0.15">
      <c r="B2772" s="77" t="str">
        <f t="shared" ca="1" si="86"/>
        <v/>
      </c>
      <c r="C2772" s="11" t="str">
        <f t="shared" ca="1" si="87"/>
        <v/>
      </c>
    </row>
    <row r="2773" spans="2:3" x14ac:dyDescent="0.15">
      <c r="B2773" s="77" t="str">
        <f t="shared" ca="1" si="86"/>
        <v/>
      </c>
      <c r="C2773" s="11" t="str">
        <f t="shared" ca="1" si="87"/>
        <v/>
      </c>
    </row>
    <row r="2774" spans="2:3" x14ac:dyDescent="0.15">
      <c r="B2774" s="77" t="str">
        <f t="shared" ca="1" si="86"/>
        <v/>
      </c>
      <c r="C2774" s="11" t="str">
        <f t="shared" ca="1" si="87"/>
        <v/>
      </c>
    </row>
    <row r="2775" spans="2:3" x14ac:dyDescent="0.15">
      <c r="B2775" s="77" t="str">
        <f t="shared" ca="1" si="86"/>
        <v/>
      </c>
      <c r="C2775" s="11" t="str">
        <f t="shared" ca="1" si="87"/>
        <v/>
      </c>
    </row>
    <row r="2776" spans="2:3" x14ac:dyDescent="0.15">
      <c r="B2776" s="77" t="str">
        <f t="shared" ca="1" si="86"/>
        <v/>
      </c>
      <c r="C2776" s="11" t="str">
        <f t="shared" ca="1" si="87"/>
        <v/>
      </c>
    </row>
    <row r="2777" spans="2:3" x14ac:dyDescent="0.15">
      <c r="B2777" s="77" t="str">
        <f t="shared" ca="1" si="86"/>
        <v/>
      </c>
      <c r="C2777" s="11" t="str">
        <f t="shared" ca="1" si="87"/>
        <v/>
      </c>
    </row>
    <row r="2778" spans="2:3" x14ac:dyDescent="0.15">
      <c r="B2778" s="77" t="str">
        <f t="shared" ca="1" si="86"/>
        <v/>
      </c>
      <c r="C2778" s="11" t="str">
        <f t="shared" ca="1" si="87"/>
        <v/>
      </c>
    </row>
    <row r="2779" spans="2:3" x14ac:dyDescent="0.15">
      <c r="B2779" s="77" t="str">
        <f t="shared" ca="1" si="86"/>
        <v/>
      </c>
      <c r="C2779" s="11" t="str">
        <f t="shared" ca="1" si="87"/>
        <v/>
      </c>
    </row>
    <row r="2780" spans="2:3" x14ac:dyDescent="0.15">
      <c r="B2780" s="77" t="str">
        <f t="shared" ca="1" si="86"/>
        <v/>
      </c>
      <c r="C2780" s="11" t="str">
        <f t="shared" ca="1" si="87"/>
        <v/>
      </c>
    </row>
    <row r="2781" spans="2:3" x14ac:dyDescent="0.15">
      <c r="B2781" s="77" t="str">
        <f t="shared" ca="1" si="86"/>
        <v/>
      </c>
      <c r="C2781" s="11" t="str">
        <f t="shared" ca="1" si="87"/>
        <v/>
      </c>
    </row>
    <row r="2782" spans="2:3" x14ac:dyDescent="0.15">
      <c r="B2782" s="77" t="str">
        <f t="shared" ca="1" si="86"/>
        <v/>
      </c>
      <c r="C2782" s="11" t="str">
        <f t="shared" ca="1" si="87"/>
        <v/>
      </c>
    </row>
    <row r="2783" spans="2:3" x14ac:dyDescent="0.15">
      <c r="B2783" s="77" t="str">
        <f t="shared" ca="1" si="86"/>
        <v/>
      </c>
      <c r="C2783" s="11" t="str">
        <f t="shared" ca="1" si="87"/>
        <v/>
      </c>
    </row>
    <row r="2784" spans="2:3" x14ac:dyDescent="0.15">
      <c r="B2784" s="77" t="str">
        <f t="shared" ca="1" si="86"/>
        <v/>
      </c>
      <c r="C2784" s="11" t="str">
        <f t="shared" ca="1" si="87"/>
        <v/>
      </c>
    </row>
    <row r="2785" spans="2:3" x14ac:dyDescent="0.15">
      <c r="B2785" s="77" t="str">
        <f t="shared" ca="1" si="86"/>
        <v/>
      </c>
      <c r="C2785" s="11" t="str">
        <f t="shared" ca="1" si="87"/>
        <v/>
      </c>
    </row>
    <row r="2786" spans="2:3" x14ac:dyDescent="0.15">
      <c r="B2786" s="77" t="str">
        <f t="shared" ca="1" si="86"/>
        <v/>
      </c>
      <c r="C2786" s="11" t="str">
        <f t="shared" ca="1" si="87"/>
        <v/>
      </c>
    </row>
    <row r="2787" spans="2:3" x14ac:dyDescent="0.15">
      <c r="B2787" s="77" t="str">
        <f t="shared" ca="1" si="86"/>
        <v/>
      </c>
      <c r="C2787" s="11" t="str">
        <f t="shared" ca="1" si="87"/>
        <v/>
      </c>
    </row>
    <row r="2788" spans="2:3" x14ac:dyDescent="0.15">
      <c r="B2788" s="77" t="str">
        <f t="shared" ca="1" si="86"/>
        <v/>
      </c>
      <c r="C2788" s="11" t="str">
        <f t="shared" ca="1" si="87"/>
        <v/>
      </c>
    </row>
    <row r="2789" spans="2:3" x14ac:dyDescent="0.15">
      <c r="B2789" s="77" t="str">
        <f t="shared" ca="1" si="86"/>
        <v/>
      </c>
      <c r="C2789" s="11" t="str">
        <f t="shared" ca="1" si="87"/>
        <v/>
      </c>
    </row>
    <row r="2790" spans="2:3" x14ac:dyDescent="0.15">
      <c r="B2790" s="77" t="str">
        <f t="shared" ca="1" si="86"/>
        <v/>
      </c>
      <c r="C2790" s="11" t="str">
        <f t="shared" ca="1" si="87"/>
        <v/>
      </c>
    </row>
    <row r="2791" spans="2:3" x14ac:dyDescent="0.15">
      <c r="B2791" s="77" t="str">
        <f t="shared" ca="1" si="86"/>
        <v/>
      </c>
      <c r="C2791" s="11" t="str">
        <f t="shared" ca="1" si="87"/>
        <v/>
      </c>
    </row>
    <row r="2792" spans="2:3" x14ac:dyDescent="0.15">
      <c r="B2792" s="77" t="str">
        <f t="shared" ca="1" si="86"/>
        <v/>
      </c>
      <c r="C2792" s="11" t="str">
        <f t="shared" ca="1" si="87"/>
        <v/>
      </c>
    </row>
    <row r="2793" spans="2:3" x14ac:dyDescent="0.15">
      <c r="B2793" s="77" t="str">
        <f t="shared" ca="1" si="86"/>
        <v/>
      </c>
      <c r="C2793" s="11" t="str">
        <f t="shared" ca="1" si="87"/>
        <v/>
      </c>
    </row>
    <row r="2794" spans="2:3" x14ac:dyDescent="0.15">
      <c r="B2794" s="77" t="str">
        <f t="shared" ca="1" si="86"/>
        <v/>
      </c>
      <c r="C2794" s="11" t="str">
        <f t="shared" ca="1" si="87"/>
        <v/>
      </c>
    </row>
    <row r="2795" spans="2:3" x14ac:dyDescent="0.15">
      <c r="B2795" s="77" t="str">
        <f t="shared" ca="1" si="86"/>
        <v/>
      </c>
      <c r="C2795" s="11" t="str">
        <f t="shared" ca="1" si="87"/>
        <v/>
      </c>
    </row>
    <row r="2796" spans="2:3" x14ac:dyDescent="0.15">
      <c r="B2796" s="77" t="str">
        <f t="shared" ca="1" si="86"/>
        <v/>
      </c>
      <c r="C2796" s="11" t="str">
        <f t="shared" ca="1" si="87"/>
        <v/>
      </c>
    </row>
    <row r="2797" spans="2:3" x14ac:dyDescent="0.15">
      <c r="B2797" s="77" t="str">
        <f t="shared" ca="1" si="86"/>
        <v/>
      </c>
      <c r="C2797" s="11" t="str">
        <f t="shared" ca="1" si="87"/>
        <v/>
      </c>
    </row>
    <row r="2798" spans="2:3" x14ac:dyDescent="0.15">
      <c r="B2798" s="77" t="str">
        <f t="shared" ca="1" si="86"/>
        <v/>
      </c>
      <c r="C2798" s="11" t="str">
        <f t="shared" ca="1" si="87"/>
        <v/>
      </c>
    </row>
    <row r="2799" spans="2:3" x14ac:dyDescent="0.15">
      <c r="B2799" s="77" t="str">
        <f t="shared" ca="1" si="86"/>
        <v/>
      </c>
      <c r="C2799" s="11" t="str">
        <f t="shared" ca="1" si="87"/>
        <v/>
      </c>
    </row>
    <row r="2800" spans="2:3" x14ac:dyDescent="0.15">
      <c r="B2800" s="77" t="str">
        <f t="shared" ca="1" si="86"/>
        <v/>
      </c>
      <c r="C2800" s="11" t="str">
        <f t="shared" ca="1" si="87"/>
        <v/>
      </c>
    </row>
    <row r="2801" spans="2:3" x14ac:dyDescent="0.15">
      <c r="B2801" s="77" t="str">
        <f t="shared" ca="1" si="86"/>
        <v/>
      </c>
      <c r="C2801" s="11" t="str">
        <f t="shared" ca="1" si="87"/>
        <v/>
      </c>
    </row>
    <row r="2802" spans="2:3" x14ac:dyDescent="0.15">
      <c r="B2802" s="77" t="str">
        <f t="shared" ca="1" si="86"/>
        <v/>
      </c>
      <c r="C2802" s="11" t="str">
        <f t="shared" ca="1" si="87"/>
        <v/>
      </c>
    </row>
    <row r="2803" spans="2:3" x14ac:dyDescent="0.15">
      <c r="B2803" s="77" t="str">
        <f t="shared" ca="1" si="86"/>
        <v/>
      </c>
      <c r="C2803" s="11" t="str">
        <f t="shared" ca="1" si="87"/>
        <v/>
      </c>
    </row>
    <row r="2804" spans="2:3" x14ac:dyDescent="0.15">
      <c r="B2804" s="77" t="str">
        <f t="shared" ca="1" si="86"/>
        <v/>
      </c>
      <c r="C2804" s="11" t="str">
        <f t="shared" ca="1" si="87"/>
        <v/>
      </c>
    </row>
    <row r="2805" spans="2:3" x14ac:dyDescent="0.15">
      <c r="B2805" s="77" t="str">
        <f t="shared" ca="1" si="86"/>
        <v/>
      </c>
      <c r="C2805" s="11" t="str">
        <f t="shared" ca="1" si="87"/>
        <v/>
      </c>
    </row>
    <row r="2806" spans="2:3" x14ac:dyDescent="0.15">
      <c r="B2806" s="77" t="str">
        <f t="shared" ca="1" si="86"/>
        <v/>
      </c>
      <c r="C2806" s="11" t="str">
        <f t="shared" ca="1" si="87"/>
        <v/>
      </c>
    </row>
    <row r="2807" spans="2:3" x14ac:dyDescent="0.15">
      <c r="B2807" s="77" t="str">
        <f t="shared" ca="1" si="86"/>
        <v/>
      </c>
      <c r="C2807" s="11" t="str">
        <f t="shared" ca="1" si="87"/>
        <v/>
      </c>
    </row>
    <row r="2808" spans="2:3" x14ac:dyDescent="0.15">
      <c r="B2808" s="77" t="str">
        <f t="shared" ca="1" si="86"/>
        <v/>
      </c>
      <c r="C2808" s="11" t="str">
        <f t="shared" ca="1" si="87"/>
        <v/>
      </c>
    </row>
    <row r="2809" spans="2:3" x14ac:dyDescent="0.15">
      <c r="B2809" s="77" t="str">
        <f t="shared" ca="1" si="86"/>
        <v/>
      </c>
      <c r="C2809" s="11" t="str">
        <f t="shared" ca="1" si="87"/>
        <v/>
      </c>
    </row>
    <row r="2810" spans="2:3" x14ac:dyDescent="0.15">
      <c r="B2810" s="77" t="str">
        <f t="shared" ca="1" si="86"/>
        <v/>
      </c>
      <c r="C2810" s="11" t="str">
        <f t="shared" ca="1" si="87"/>
        <v/>
      </c>
    </row>
    <row r="2811" spans="2:3" x14ac:dyDescent="0.15">
      <c r="B2811" s="77" t="str">
        <f t="shared" ca="1" si="86"/>
        <v/>
      </c>
      <c r="C2811" s="11" t="str">
        <f t="shared" ca="1" si="87"/>
        <v/>
      </c>
    </row>
    <row r="2812" spans="2:3" x14ac:dyDescent="0.15">
      <c r="B2812" s="77" t="str">
        <f t="shared" ca="1" si="86"/>
        <v/>
      </c>
      <c r="C2812" s="11" t="str">
        <f t="shared" ca="1" si="87"/>
        <v/>
      </c>
    </row>
    <row r="2813" spans="2:3" x14ac:dyDescent="0.15">
      <c r="B2813" s="77" t="str">
        <f t="shared" ca="1" si="86"/>
        <v/>
      </c>
      <c r="C2813" s="11" t="str">
        <f t="shared" ca="1" si="87"/>
        <v/>
      </c>
    </row>
    <row r="2814" spans="2:3" x14ac:dyDescent="0.15">
      <c r="B2814" s="77" t="str">
        <f t="shared" ca="1" si="86"/>
        <v/>
      </c>
      <c r="C2814" s="11" t="str">
        <f t="shared" ca="1" si="87"/>
        <v/>
      </c>
    </row>
    <row r="2815" spans="2:3" x14ac:dyDescent="0.15">
      <c r="B2815" s="77" t="str">
        <f t="shared" ca="1" si="86"/>
        <v/>
      </c>
      <c r="C2815" s="11" t="str">
        <f t="shared" ca="1" si="87"/>
        <v/>
      </c>
    </row>
    <row r="2816" spans="2:3" x14ac:dyDescent="0.15">
      <c r="B2816" s="77" t="str">
        <f t="shared" ca="1" si="86"/>
        <v/>
      </c>
      <c r="C2816" s="11" t="str">
        <f t="shared" ca="1" si="87"/>
        <v/>
      </c>
    </row>
    <row r="2817" spans="2:3" x14ac:dyDescent="0.15">
      <c r="B2817" s="77" t="str">
        <f t="shared" ca="1" si="86"/>
        <v/>
      </c>
      <c r="C2817" s="11" t="str">
        <f t="shared" ca="1" si="87"/>
        <v/>
      </c>
    </row>
    <row r="2818" spans="2:3" x14ac:dyDescent="0.15">
      <c r="B2818" s="77" t="str">
        <f t="shared" ref="B2818:B2881" ca="1" si="88">IFERROR(VLOOKUP(TEXT(A2818,"00000000"),analysis_table_by_barcode,15,FALSE),"")</f>
        <v/>
      </c>
      <c r="C2818" s="11" t="str">
        <f t="shared" ref="C2818:C2881" ca="1" si="89">IF($B2818&lt;&gt;"", IF(VLOOKUP(B2818, final_to_ministry_result,2,FALSE)&lt;&gt;"",VLOOKUP(B2818, final_to_ministry_result,2,FALSE),""),"")</f>
        <v/>
      </c>
    </row>
    <row r="2819" spans="2:3" x14ac:dyDescent="0.15">
      <c r="B2819" s="77" t="str">
        <f t="shared" ca="1" si="88"/>
        <v/>
      </c>
      <c r="C2819" s="11" t="str">
        <f t="shared" ca="1" si="89"/>
        <v/>
      </c>
    </row>
    <row r="2820" spans="2:3" x14ac:dyDescent="0.15">
      <c r="B2820" s="77" t="str">
        <f t="shared" ca="1" si="88"/>
        <v/>
      </c>
      <c r="C2820" s="11" t="str">
        <f t="shared" ca="1" si="89"/>
        <v/>
      </c>
    </row>
    <row r="2821" spans="2:3" x14ac:dyDescent="0.15">
      <c r="B2821" s="77" t="str">
        <f t="shared" ca="1" si="88"/>
        <v/>
      </c>
      <c r="C2821" s="11" t="str">
        <f t="shared" ca="1" si="89"/>
        <v/>
      </c>
    </row>
    <row r="2822" spans="2:3" x14ac:dyDescent="0.15">
      <c r="B2822" s="77" t="str">
        <f t="shared" ca="1" si="88"/>
        <v/>
      </c>
      <c r="C2822" s="11" t="str">
        <f t="shared" ca="1" si="89"/>
        <v/>
      </c>
    </row>
    <row r="2823" spans="2:3" x14ac:dyDescent="0.15">
      <c r="B2823" s="77" t="str">
        <f t="shared" ca="1" si="88"/>
        <v/>
      </c>
      <c r="C2823" s="11" t="str">
        <f t="shared" ca="1" si="89"/>
        <v/>
      </c>
    </row>
    <row r="2824" spans="2:3" x14ac:dyDescent="0.15">
      <c r="B2824" s="77" t="str">
        <f t="shared" ca="1" si="88"/>
        <v/>
      </c>
      <c r="C2824" s="11" t="str">
        <f t="shared" ca="1" si="89"/>
        <v/>
      </c>
    </row>
    <row r="2825" spans="2:3" x14ac:dyDescent="0.15">
      <c r="B2825" s="77" t="str">
        <f t="shared" ca="1" si="88"/>
        <v/>
      </c>
      <c r="C2825" s="11" t="str">
        <f t="shared" ca="1" si="89"/>
        <v/>
      </c>
    </row>
    <row r="2826" spans="2:3" x14ac:dyDescent="0.15">
      <c r="B2826" s="77" t="str">
        <f t="shared" ca="1" si="88"/>
        <v/>
      </c>
      <c r="C2826" s="11" t="str">
        <f t="shared" ca="1" si="89"/>
        <v/>
      </c>
    </row>
    <row r="2827" spans="2:3" x14ac:dyDescent="0.15">
      <c r="B2827" s="77" t="str">
        <f t="shared" ca="1" si="88"/>
        <v/>
      </c>
      <c r="C2827" s="11" t="str">
        <f t="shared" ca="1" si="89"/>
        <v/>
      </c>
    </row>
    <row r="2828" spans="2:3" x14ac:dyDescent="0.15">
      <c r="B2828" s="77" t="str">
        <f t="shared" ca="1" si="88"/>
        <v/>
      </c>
      <c r="C2828" s="11" t="str">
        <f t="shared" ca="1" si="89"/>
        <v/>
      </c>
    </row>
    <row r="2829" spans="2:3" x14ac:dyDescent="0.15">
      <c r="B2829" s="77" t="str">
        <f t="shared" ca="1" si="88"/>
        <v/>
      </c>
      <c r="C2829" s="11" t="str">
        <f t="shared" ca="1" si="89"/>
        <v/>
      </c>
    </row>
    <row r="2830" spans="2:3" x14ac:dyDescent="0.15">
      <c r="B2830" s="77" t="str">
        <f t="shared" ca="1" si="88"/>
        <v/>
      </c>
      <c r="C2830" s="11" t="str">
        <f t="shared" ca="1" si="89"/>
        <v/>
      </c>
    </row>
    <row r="2831" spans="2:3" x14ac:dyDescent="0.15">
      <c r="B2831" s="77" t="str">
        <f t="shared" ca="1" si="88"/>
        <v/>
      </c>
      <c r="C2831" s="11" t="str">
        <f t="shared" ca="1" si="89"/>
        <v/>
      </c>
    </row>
    <row r="2832" spans="2:3" x14ac:dyDescent="0.15">
      <c r="B2832" s="77" t="str">
        <f t="shared" ca="1" si="88"/>
        <v/>
      </c>
      <c r="C2832" s="11" t="str">
        <f t="shared" ca="1" si="89"/>
        <v/>
      </c>
    </row>
    <row r="2833" spans="2:3" x14ac:dyDescent="0.15">
      <c r="B2833" s="77" t="str">
        <f t="shared" ca="1" si="88"/>
        <v/>
      </c>
      <c r="C2833" s="11" t="str">
        <f t="shared" ca="1" si="89"/>
        <v/>
      </c>
    </row>
    <row r="2834" spans="2:3" x14ac:dyDescent="0.15">
      <c r="B2834" s="77" t="str">
        <f t="shared" ca="1" si="88"/>
        <v/>
      </c>
      <c r="C2834" s="11" t="str">
        <f t="shared" ca="1" si="89"/>
        <v/>
      </c>
    </row>
    <row r="2835" spans="2:3" x14ac:dyDescent="0.15">
      <c r="B2835" s="77" t="str">
        <f t="shared" ca="1" si="88"/>
        <v/>
      </c>
      <c r="C2835" s="11" t="str">
        <f t="shared" ca="1" si="89"/>
        <v/>
      </c>
    </row>
    <row r="2836" spans="2:3" x14ac:dyDescent="0.15">
      <c r="B2836" s="77" t="str">
        <f t="shared" ca="1" si="88"/>
        <v/>
      </c>
      <c r="C2836" s="11" t="str">
        <f t="shared" ca="1" si="89"/>
        <v/>
      </c>
    </row>
    <row r="2837" spans="2:3" x14ac:dyDescent="0.15">
      <c r="B2837" s="77" t="str">
        <f t="shared" ca="1" si="88"/>
        <v/>
      </c>
      <c r="C2837" s="11" t="str">
        <f t="shared" ca="1" si="89"/>
        <v/>
      </c>
    </row>
    <row r="2838" spans="2:3" x14ac:dyDescent="0.15">
      <c r="B2838" s="77" t="str">
        <f t="shared" ca="1" si="88"/>
        <v/>
      </c>
      <c r="C2838" s="11" t="str">
        <f t="shared" ca="1" si="89"/>
        <v/>
      </c>
    </row>
    <row r="2839" spans="2:3" x14ac:dyDescent="0.15">
      <c r="B2839" s="77" t="str">
        <f t="shared" ca="1" si="88"/>
        <v/>
      </c>
      <c r="C2839" s="11" t="str">
        <f t="shared" ca="1" si="89"/>
        <v/>
      </c>
    </row>
    <row r="2840" spans="2:3" x14ac:dyDescent="0.15">
      <c r="B2840" s="77" t="str">
        <f t="shared" ca="1" si="88"/>
        <v/>
      </c>
      <c r="C2840" s="11" t="str">
        <f t="shared" ca="1" si="89"/>
        <v/>
      </c>
    </row>
    <row r="2841" spans="2:3" x14ac:dyDescent="0.15">
      <c r="B2841" s="77" t="str">
        <f t="shared" ca="1" si="88"/>
        <v/>
      </c>
      <c r="C2841" s="11" t="str">
        <f t="shared" ca="1" si="89"/>
        <v/>
      </c>
    </row>
    <row r="2842" spans="2:3" x14ac:dyDescent="0.15">
      <c r="B2842" s="77" t="str">
        <f t="shared" ca="1" si="88"/>
        <v/>
      </c>
      <c r="C2842" s="11" t="str">
        <f t="shared" ca="1" si="89"/>
        <v/>
      </c>
    </row>
    <row r="2843" spans="2:3" x14ac:dyDescent="0.15">
      <c r="B2843" s="77" t="str">
        <f t="shared" ca="1" si="88"/>
        <v/>
      </c>
      <c r="C2843" s="11" t="str">
        <f t="shared" ca="1" si="89"/>
        <v/>
      </c>
    </row>
    <row r="2844" spans="2:3" x14ac:dyDescent="0.15">
      <c r="B2844" s="77" t="str">
        <f t="shared" ca="1" si="88"/>
        <v/>
      </c>
      <c r="C2844" s="11" t="str">
        <f t="shared" ca="1" si="89"/>
        <v/>
      </c>
    </row>
    <row r="2845" spans="2:3" x14ac:dyDescent="0.15">
      <c r="B2845" s="77" t="str">
        <f t="shared" ca="1" si="88"/>
        <v/>
      </c>
      <c r="C2845" s="11" t="str">
        <f t="shared" ca="1" si="89"/>
        <v/>
      </c>
    </row>
    <row r="2846" spans="2:3" x14ac:dyDescent="0.15">
      <c r="B2846" s="77" t="str">
        <f t="shared" ca="1" si="88"/>
        <v/>
      </c>
      <c r="C2846" s="11" t="str">
        <f t="shared" ca="1" si="89"/>
        <v/>
      </c>
    </row>
    <row r="2847" spans="2:3" x14ac:dyDescent="0.15">
      <c r="B2847" s="77" t="str">
        <f t="shared" ca="1" si="88"/>
        <v/>
      </c>
      <c r="C2847" s="11" t="str">
        <f t="shared" ca="1" si="89"/>
        <v/>
      </c>
    </row>
    <row r="2848" spans="2:3" x14ac:dyDescent="0.15">
      <c r="B2848" s="77" t="str">
        <f t="shared" ca="1" si="88"/>
        <v/>
      </c>
      <c r="C2848" s="11" t="str">
        <f t="shared" ca="1" si="89"/>
        <v/>
      </c>
    </row>
    <row r="2849" spans="2:3" x14ac:dyDescent="0.15">
      <c r="B2849" s="77" t="str">
        <f t="shared" ca="1" si="88"/>
        <v/>
      </c>
      <c r="C2849" s="11" t="str">
        <f t="shared" ca="1" si="89"/>
        <v/>
      </c>
    </row>
    <row r="2850" spans="2:3" x14ac:dyDescent="0.15">
      <c r="B2850" s="77" t="str">
        <f t="shared" ca="1" si="88"/>
        <v/>
      </c>
      <c r="C2850" s="11" t="str">
        <f t="shared" ca="1" si="89"/>
        <v/>
      </c>
    </row>
    <row r="2851" spans="2:3" x14ac:dyDescent="0.15">
      <c r="B2851" s="77" t="str">
        <f t="shared" ca="1" si="88"/>
        <v/>
      </c>
      <c r="C2851" s="11" t="str">
        <f t="shared" ca="1" si="89"/>
        <v/>
      </c>
    </row>
    <row r="2852" spans="2:3" x14ac:dyDescent="0.15">
      <c r="B2852" s="77" t="str">
        <f t="shared" ca="1" si="88"/>
        <v/>
      </c>
      <c r="C2852" s="11" t="str">
        <f t="shared" ca="1" si="89"/>
        <v/>
      </c>
    </row>
    <row r="2853" spans="2:3" x14ac:dyDescent="0.15">
      <c r="B2853" s="77" t="str">
        <f t="shared" ca="1" si="88"/>
        <v/>
      </c>
      <c r="C2853" s="11" t="str">
        <f t="shared" ca="1" si="89"/>
        <v/>
      </c>
    </row>
    <row r="2854" spans="2:3" x14ac:dyDescent="0.15">
      <c r="B2854" s="77" t="str">
        <f t="shared" ca="1" si="88"/>
        <v/>
      </c>
      <c r="C2854" s="11" t="str">
        <f t="shared" ca="1" si="89"/>
        <v/>
      </c>
    </row>
    <row r="2855" spans="2:3" x14ac:dyDescent="0.15">
      <c r="B2855" s="77" t="str">
        <f t="shared" ca="1" si="88"/>
        <v/>
      </c>
      <c r="C2855" s="11" t="str">
        <f t="shared" ca="1" si="89"/>
        <v/>
      </c>
    </row>
    <row r="2856" spans="2:3" x14ac:dyDescent="0.15">
      <c r="B2856" s="77" t="str">
        <f t="shared" ca="1" si="88"/>
        <v/>
      </c>
      <c r="C2856" s="11" t="str">
        <f t="shared" ca="1" si="89"/>
        <v/>
      </c>
    </row>
    <row r="2857" spans="2:3" x14ac:dyDescent="0.15">
      <c r="B2857" s="77" t="str">
        <f t="shared" ca="1" si="88"/>
        <v/>
      </c>
      <c r="C2857" s="11" t="str">
        <f t="shared" ca="1" si="89"/>
        <v/>
      </c>
    </row>
    <row r="2858" spans="2:3" x14ac:dyDescent="0.15">
      <c r="B2858" s="77" t="str">
        <f t="shared" ca="1" si="88"/>
        <v/>
      </c>
      <c r="C2858" s="11" t="str">
        <f t="shared" ca="1" si="89"/>
        <v/>
      </c>
    </row>
    <row r="2859" spans="2:3" x14ac:dyDescent="0.15">
      <c r="B2859" s="77" t="str">
        <f t="shared" ca="1" si="88"/>
        <v/>
      </c>
      <c r="C2859" s="11" t="str">
        <f t="shared" ca="1" si="89"/>
        <v/>
      </c>
    </row>
    <row r="2860" spans="2:3" x14ac:dyDescent="0.15">
      <c r="B2860" s="77" t="str">
        <f t="shared" ca="1" si="88"/>
        <v/>
      </c>
      <c r="C2860" s="11" t="str">
        <f t="shared" ca="1" si="89"/>
        <v/>
      </c>
    </row>
    <row r="2861" spans="2:3" x14ac:dyDescent="0.15">
      <c r="B2861" s="77" t="str">
        <f t="shared" ca="1" si="88"/>
        <v/>
      </c>
      <c r="C2861" s="11" t="str">
        <f t="shared" ca="1" si="89"/>
        <v/>
      </c>
    </row>
    <row r="2862" spans="2:3" x14ac:dyDescent="0.15">
      <c r="B2862" s="77" t="str">
        <f t="shared" ca="1" si="88"/>
        <v/>
      </c>
      <c r="C2862" s="11" t="str">
        <f t="shared" ca="1" si="89"/>
        <v/>
      </c>
    </row>
    <row r="2863" spans="2:3" x14ac:dyDescent="0.15">
      <c r="B2863" s="77" t="str">
        <f t="shared" ca="1" si="88"/>
        <v/>
      </c>
      <c r="C2863" s="11" t="str">
        <f t="shared" ca="1" si="89"/>
        <v/>
      </c>
    </row>
    <row r="2864" spans="2:3" x14ac:dyDescent="0.15">
      <c r="B2864" s="77" t="str">
        <f t="shared" ca="1" si="88"/>
        <v/>
      </c>
      <c r="C2864" s="11" t="str">
        <f t="shared" ca="1" si="89"/>
        <v/>
      </c>
    </row>
    <row r="2865" spans="2:3" x14ac:dyDescent="0.15">
      <c r="B2865" s="77" t="str">
        <f t="shared" ca="1" si="88"/>
        <v/>
      </c>
      <c r="C2865" s="11" t="str">
        <f t="shared" ca="1" si="89"/>
        <v/>
      </c>
    </row>
    <row r="2866" spans="2:3" x14ac:dyDescent="0.15">
      <c r="B2866" s="77" t="str">
        <f t="shared" ca="1" si="88"/>
        <v/>
      </c>
      <c r="C2866" s="11" t="str">
        <f t="shared" ca="1" si="89"/>
        <v/>
      </c>
    </row>
    <row r="2867" spans="2:3" x14ac:dyDescent="0.15">
      <c r="B2867" s="77" t="str">
        <f t="shared" ca="1" si="88"/>
        <v/>
      </c>
      <c r="C2867" s="11" t="str">
        <f t="shared" ca="1" si="89"/>
        <v/>
      </c>
    </row>
    <row r="2868" spans="2:3" x14ac:dyDescent="0.15">
      <c r="B2868" s="77" t="str">
        <f t="shared" ca="1" si="88"/>
        <v/>
      </c>
      <c r="C2868" s="11" t="str">
        <f t="shared" ca="1" si="89"/>
        <v/>
      </c>
    </row>
    <row r="2869" spans="2:3" x14ac:dyDescent="0.15">
      <c r="B2869" s="77" t="str">
        <f t="shared" ca="1" si="88"/>
        <v/>
      </c>
      <c r="C2869" s="11" t="str">
        <f t="shared" ca="1" si="89"/>
        <v/>
      </c>
    </row>
    <row r="2870" spans="2:3" x14ac:dyDescent="0.15">
      <c r="B2870" s="77" t="str">
        <f t="shared" ca="1" si="88"/>
        <v/>
      </c>
      <c r="C2870" s="11" t="str">
        <f t="shared" ca="1" si="89"/>
        <v/>
      </c>
    </row>
    <row r="2871" spans="2:3" x14ac:dyDescent="0.15">
      <c r="B2871" s="77" t="str">
        <f t="shared" ca="1" si="88"/>
        <v/>
      </c>
      <c r="C2871" s="11" t="str">
        <f t="shared" ca="1" si="89"/>
        <v/>
      </c>
    </row>
    <row r="2872" spans="2:3" x14ac:dyDescent="0.15">
      <c r="B2872" s="77" t="str">
        <f t="shared" ca="1" si="88"/>
        <v/>
      </c>
      <c r="C2872" s="11" t="str">
        <f t="shared" ca="1" si="89"/>
        <v/>
      </c>
    </row>
    <row r="2873" spans="2:3" x14ac:dyDescent="0.15">
      <c r="B2873" s="77" t="str">
        <f t="shared" ca="1" si="88"/>
        <v/>
      </c>
      <c r="C2873" s="11" t="str">
        <f t="shared" ca="1" si="89"/>
        <v/>
      </c>
    </row>
    <row r="2874" spans="2:3" x14ac:dyDescent="0.15">
      <c r="B2874" s="77" t="str">
        <f t="shared" ca="1" si="88"/>
        <v/>
      </c>
      <c r="C2874" s="11" t="str">
        <f t="shared" ca="1" si="89"/>
        <v/>
      </c>
    </row>
    <row r="2875" spans="2:3" x14ac:dyDescent="0.15">
      <c r="B2875" s="77" t="str">
        <f t="shared" ca="1" si="88"/>
        <v/>
      </c>
      <c r="C2875" s="11" t="str">
        <f t="shared" ca="1" si="89"/>
        <v/>
      </c>
    </row>
    <row r="2876" spans="2:3" x14ac:dyDescent="0.15">
      <c r="B2876" s="77" t="str">
        <f t="shared" ca="1" si="88"/>
        <v/>
      </c>
      <c r="C2876" s="11" t="str">
        <f t="shared" ca="1" si="89"/>
        <v/>
      </c>
    </row>
    <row r="2877" spans="2:3" x14ac:dyDescent="0.15">
      <c r="B2877" s="77" t="str">
        <f t="shared" ca="1" si="88"/>
        <v/>
      </c>
      <c r="C2877" s="11" t="str">
        <f t="shared" ca="1" si="89"/>
        <v/>
      </c>
    </row>
    <row r="2878" spans="2:3" x14ac:dyDescent="0.15">
      <c r="B2878" s="77" t="str">
        <f t="shared" ca="1" si="88"/>
        <v/>
      </c>
      <c r="C2878" s="11" t="str">
        <f t="shared" ca="1" si="89"/>
        <v/>
      </c>
    </row>
    <row r="2879" spans="2:3" x14ac:dyDescent="0.15">
      <c r="B2879" s="77" t="str">
        <f t="shared" ca="1" si="88"/>
        <v/>
      </c>
      <c r="C2879" s="11" t="str">
        <f t="shared" ca="1" si="89"/>
        <v/>
      </c>
    </row>
    <row r="2880" spans="2:3" x14ac:dyDescent="0.15">
      <c r="B2880" s="77" t="str">
        <f t="shared" ca="1" si="88"/>
        <v/>
      </c>
      <c r="C2880" s="11" t="str">
        <f t="shared" ca="1" si="89"/>
        <v/>
      </c>
    </row>
    <row r="2881" spans="2:3" x14ac:dyDescent="0.15">
      <c r="B2881" s="77" t="str">
        <f t="shared" ca="1" si="88"/>
        <v/>
      </c>
      <c r="C2881" s="11" t="str">
        <f t="shared" ca="1" si="89"/>
        <v/>
      </c>
    </row>
    <row r="2882" spans="2:3" x14ac:dyDescent="0.15">
      <c r="B2882" s="77" t="str">
        <f t="shared" ref="B2882:B2945" ca="1" si="90">IFERROR(VLOOKUP(TEXT(A2882,"00000000"),analysis_table_by_barcode,15,FALSE),"")</f>
        <v/>
      </c>
      <c r="C2882" s="11" t="str">
        <f t="shared" ref="C2882:C2945" ca="1" si="91">IF($B2882&lt;&gt;"", IF(VLOOKUP(B2882, final_to_ministry_result,2,FALSE)&lt;&gt;"",VLOOKUP(B2882, final_to_ministry_result,2,FALSE),""),"")</f>
        <v/>
      </c>
    </row>
    <row r="2883" spans="2:3" x14ac:dyDescent="0.15">
      <c r="B2883" s="77" t="str">
        <f t="shared" ca="1" si="90"/>
        <v/>
      </c>
      <c r="C2883" s="11" t="str">
        <f t="shared" ca="1" si="91"/>
        <v/>
      </c>
    </row>
    <row r="2884" spans="2:3" x14ac:dyDescent="0.15">
      <c r="B2884" s="77" t="str">
        <f t="shared" ca="1" si="90"/>
        <v/>
      </c>
      <c r="C2884" s="11" t="str">
        <f t="shared" ca="1" si="91"/>
        <v/>
      </c>
    </row>
    <row r="2885" spans="2:3" x14ac:dyDescent="0.15">
      <c r="B2885" s="77" t="str">
        <f t="shared" ca="1" si="90"/>
        <v/>
      </c>
      <c r="C2885" s="11" t="str">
        <f t="shared" ca="1" si="91"/>
        <v/>
      </c>
    </row>
    <row r="2886" spans="2:3" x14ac:dyDescent="0.15">
      <c r="B2886" s="77" t="str">
        <f t="shared" ca="1" si="90"/>
        <v/>
      </c>
      <c r="C2886" s="11" t="str">
        <f t="shared" ca="1" si="91"/>
        <v/>
      </c>
    </row>
    <row r="2887" spans="2:3" x14ac:dyDescent="0.15">
      <c r="B2887" s="77" t="str">
        <f t="shared" ca="1" si="90"/>
        <v/>
      </c>
      <c r="C2887" s="11" t="str">
        <f t="shared" ca="1" si="91"/>
        <v/>
      </c>
    </row>
    <row r="2888" spans="2:3" x14ac:dyDescent="0.15">
      <c r="B2888" s="77" t="str">
        <f t="shared" ca="1" si="90"/>
        <v/>
      </c>
      <c r="C2888" s="11" t="str">
        <f t="shared" ca="1" si="91"/>
        <v/>
      </c>
    </row>
    <row r="2889" spans="2:3" x14ac:dyDescent="0.15">
      <c r="B2889" s="77" t="str">
        <f t="shared" ca="1" si="90"/>
        <v/>
      </c>
      <c r="C2889" s="11" t="str">
        <f t="shared" ca="1" si="91"/>
        <v/>
      </c>
    </row>
    <row r="2890" spans="2:3" x14ac:dyDescent="0.15">
      <c r="B2890" s="77" t="str">
        <f t="shared" ca="1" si="90"/>
        <v/>
      </c>
      <c r="C2890" s="11" t="str">
        <f t="shared" ca="1" si="91"/>
        <v/>
      </c>
    </row>
    <row r="2891" spans="2:3" x14ac:dyDescent="0.15">
      <c r="B2891" s="77" t="str">
        <f t="shared" ca="1" si="90"/>
        <v/>
      </c>
      <c r="C2891" s="11" t="str">
        <f t="shared" ca="1" si="91"/>
        <v/>
      </c>
    </row>
    <row r="2892" spans="2:3" x14ac:dyDescent="0.15">
      <c r="B2892" s="77" t="str">
        <f t="shared" ca="1" si="90"/>
        <v/>
      </c>
      <c r="C2892" s="11" t="str">
        <f t="shared" ca="1" si="91"/>
        <v/>
      </c>
    </row>
    <row r="2893" spans="2:3" x14ac:dyDescent="0.15">
      <c r="B2893" s="77" t="str">
        <f t="shared" ca="1" si="90"/>
        <v/>
      </c>
      <c r="C2893" s="11" t="str">
        <f t="shared" ca="1" si="91"/>
        <v/>
      </c>
    </row>
    <row r="2894" spans="2:3" x14ac:dyDescent="0.15">
      <c r="B2894" s="77" t="str">
        <f t="shared" ca="1" si="90"/>
        <v/>
      </c>
      <c r="C2894" s="11" t="str">
        <f t="shared" ca="1" si="91"/>
        <v/>
      </c>
    </row>
    <row r="2895" spans="2:3" x14ac:dyDescent="0.15">
      <c r="B2895" s="77" t="str">
        <f t="shared" ca="1" si="90"/>
        <v/>
      </c>
      <c r="C2895" s="11" t="str">
        <f t="shared" ca="1" si="91"/>
        <v/>
      </c>
    </row>
    <row r="2896" spans="2:3" x14ac:dyDescent="0.15">
      <c r="B2896" s="77" t="str">
        <f t="shared" ca="1" si="90"/>
        <v/>
      </c>
      <c r="C2896" s="11" t="str">
        <f t="shared" ca="1" si="91"/>
        <v/>
      </c>
    </row>
    <row r="2897" spans="2:3" x14ac:dyDescent="0.15">
      <c r="B2897" s="77" t="str">
        <f t="shared" ca="1" si="90"/>
        <v/>
      </c>
      <c r="C2897" s="11" t="str">
        <f t="shared" ca="1" si="91"/>
        <v/>
      </c>
    </row>
    <row r="2898" spans="2:3" x14ac:dyDescent="0.15">
      <c r="B2898" s="77" t="str">
        <f t="shared" ca="1" si="90"/>
        <v/>
      </c>
      <c r="C2898" s="11" t="str">
        <f t="shared" ca="1" si="91"/>
        <v/>
      </c>
    </row>
    <row r="2899" spans="2:3" x14ac:dyDescent="0.15">
      <c r="B2899" s="77" t="str">
        <f t="shared" ca="1" si="90"/>
        <v/>
      </c>
      <c r="C2899" s="11" t="str">
        <f t="shared" ca="1" si="91"/>
        <v/>
      </c>
    </row>
    <row r="2900" spans="2:3" x14ac:dyDescent="0.15">
      <c r="B2900" s="77" t="str">
        <f t="shared" ca="1" si="90"/>
        <v/>
      </c>
      <c r="C2900" s="11" t="str">
        <f t="shared" ca="1" si="91"/>
        <v/>
      </c>
    </row>
    <row r="2901" spans="2:3" x14ac:dyDescent="0.15">
      <c r="B2901" s="77" t="str">
        <f t="shared" ca="1" si="90"/>
        <v/>
      </c>
      <c r="C2901" s="11" t="str">
        <f t="shared" ca="1" si="91"/>
        <v/>
      </c>
    </row>
    <row r="2902" spans="2:3" x14ac:dyDescent="0.15">
      <c r="B2902" s="77" t="str">
        <f t="shared" ca="1" si="90"/>
        <v/>
      </c>
      <c r="C2902" s="11" t="str">
        <f t="shared" ca="1" si="91"/>
        <v/>
      </c>
    </row>
    <row r="2903" spans="2:3" x14ac:dyDescent="0.15">
      <c r="B2903" s="77" t="str">
        <f t="shared" ca="1" si="90"/>
        <v/>
      </c>
      <c r="C2903" s="11" t="str">
        <f t="shared" ca="1" si="91"/>
        <v/>
      </c>
    </row>
    <row r="2904" spans="2:3" x14ac:dyDescent="0.15">
      <c r="B2904" s="77" t="str">
        <f t="shared" ca="1" si="90"/>
        <v/>
      </c>
      <c r="C2904" s="11" t="str">
        <f t="shared" ca="1" si="91"/>
        <v/>
      </c>
    </row>
    <row r="2905" spans="2:3" x14ac:dyDescent="0.15">
      <c r="B2905" s="77" t="str">
        <f t="shared" ca="1" si="90"/>
        <v/>
      </c>
      <c r="C2905" s="11" t="str">
        <f t="shared" ca="1" si="91"/>
        <v/>
      </c>
    </row>
    <row r="2906" spans="2:3" x14ac:dyDescent="0.15">
      <c r="B2906" s="77" t="str">
        <f t="shared" ca="1" si="90"/>
        <v/>
      </c>
      <c r="C2906" s="11" t="str">
        <f t="shared" ca="1" si="91"/>
        <v/>
      </c>
    </row>
    <row r="2907" spans="2:3" x14ac:dyDescent="0.15">
      <c r="B2907" s="77" t="str">
        <f t="shared" ca="1" si="90"/>
        <v/>
      </c>
      <c r="C2907" s="11" t="str">
        <f t="shared" ca="1" si="91"/>
        <v/>
      </c>
    </row>
    <row r="2908" spans="2:3" x14ac:dyDescent="0.15">
      <c r="B2908" s="77" t="str">
        <f t="shared" ca="1" si="90"/>
        <v/>
      </c>
      <c r="C2908" s="11" t="str">
        <f t="shared" ca="1" si="91"/>
        <v/>
      </c>
    </row>
    <row r="2909" spans="2:3" x14ac:dyDescent="0.15">
      <c r="B2909" s="77" t="str">
        <f t="shared" ca="1" si="90"/>
        <v/>
      </c>
      <c r="C2909" s="11" t="str">
        <f t="shared" ca="1" si="91"/>
        <v/>
      </c>
    </row>
    <row r="2910" spans="2:3" x14ac:dyDescent="0.15">
      <c r="B2910" s="77" t="str">
        <f t="shared" ca="1" si="90"/>
        <v/>
      </c>
      <c r="C2910" s="11" t="str">
        <f t="shared" ca="1" si="91"/>
        <v/>
      </c>
    </row>
    <row r="2911" spans="2:3" x14ac:dyDescent="0.15">
      <c r="B2911" s="77" t="str">
        <f t="shared" ca="1" si="90"/>
        <v/>
      </c>
      <c r="C2911" s="11" t="str">
        <f t="shared" ca="1" si="91"/>
        <v/>
      </c>
    </row>
    <row r="2912" spans="2:3" x14ac:dyDescent="0.15">
      <c r="B2912" s="77" t="str">
        <f t="shared" ca="1" si="90"/>
        <v/>
      </c>
      <c r="C2912" s="11" t="str">
        <f t="shared" ca="1" si="91"/>
        <v/>
      </c>
    </row>
    <row r="2913" spans="2:3" x14ac:dyDescent="0.15">
      <c r="B2913" s="77" t="str">
        <f t="shared" ca="1" si="90"/>
        <v/>
      </c>
      <c r="C2913" s="11" t="str">
        <f t="shared" ca="1" si="91"/>
        <v/>
      </c>
    </row>
    <row r="2914" spans="2:3" x14ac:dyDescent="0.15">
      <c r="B2914" s="77" t="str">
        <f t="shared" ca="1" si="90"/>
        <v/>
      </c>
      <c r="C2914" s="11" t="str">
        <f t="shared" ca="1" si="91"/>
        <v/>
      </c>
    </row>
    <row r="2915" spans="2:3" x14ac:dyDescent="0.15">
      <c r="B2915" s="77" t="str">
        <f t="shared" ca="1" si="90"/>
        <v/>
      </c>
      <c r="C2915" s="11" t="str">
        <f t="shared" ca="1" si="91"/>
        <v/>
      </c>
    </row>
    <row r="2916" spans="2:3" x14ac:dyDescent="0.15">
      <c r="B2916" s="77" t="str">
        <f t="shared" ca="1" si="90"/>
        <v/>
      </c>
      <c r="C2916" s="11" t="str">
        <f t="shared" ca="1" si="91"/>
        <v/>
      </c>
    </row>
    <row r="2917" spans="2:3" x14ac:dyDescent="0.15">
      <c r="B2917" s="77" t="str">
        <f t="shared" ca="1" si="90"/>
        <v/>
      </c>
      <c r="C2917" s="11" t="str">
        <f t="shared" ca="1" si="91"/>
        <v/>
      </c>
    </row>
    <row r="2918" spans="2:3" x14ac:dyDescent="0.15">
      <c r="B2918" s="77" t="str">
        <f t="shared" ca="1" si="90"/>
        <v/>
      </c>
      <c r="C2918" s="11" t="str">
        <f t="shared" ca="1" si="91"/>
        <v/>
      </c>
    </row>
    <row r="2919" spans="2:3" x14ac:dyDescent="0.15">
      <c r="B2919" s="77" t="str">
        <f t="shared" ca="1" si="90"/>
        <v/>
      </c>
      <c r="C2919" s="11" t="str">
        <f t="shared" ca="1" si="91"/>
        <v/>
      </c>
    </row>
    <row r="2920" spans="2:3" x14ac:dyDescent="0.15">
      <c r="B2920" s="77" t="str">
        <f t="shared" ca="1" si="90"/>
        <v/>
      </c>
      <c r="C2920" s="11" t="str">
        <f t="shared" ca="1" si="91"/>
        <v/>
      </c>
    </row>
    <row r="2921" spans="2:3" x14ac:dyDescent="0.15">
      <c r="B2921" s="77" t="str">
        <f t="shared" ca="1" si="90"/>
        <v/>
      </c>
      <c r="C2921" s="11" t="str">
        <f t="shared" ca="1" si="91"/>
        <v/>
      </c>
    </row>
    <row r="2922" spans="2:3" x14ac:dyDescent="0.15">
      <c r="B2922" s="77" t="str">
        <f t="shared" ca="1" si="90"/>
        <v/>
      </c>
      <c r="C2922" s="11" t="str">
        <f t="shared" ca="1" si="91"/>
        <v/>
      </c>
    </row>
    <row r="2923" spans="2:3" x14ac:dyDescent="0.15">
      <c r="B2923" s="77" t="str">
        <f t="shared" ca="1" si="90"/>
        <v/>
      </c>
      <c r="C2923" s="11" t="str">
        <f t="shared" ca="1" si="91"/>
        <v/>
      </c>
    </row>
    <row r="2924" spans="2:3" x14ac:dyDescent="0.15">
      <c r="B2924" s="77" t="str">
        <f t="shared" ca="1" si="90"/>
        <v/>
      </c>
      <c r="C2924" s="11" t="str">
        <f t="shared" ca="1" si="91"/>
        <v/>
      </c>
    </row>
    <row r="2925" spans="2:3" x14ac:dyDescent="0.15">
      <c r="B2925" s="77" t="str">
        <f t="shared" ca="1" si="90"/>
        <v/>
      </c>
      <c r="C2925" s="11" t="str">
        <f t="shared" ca="1" si="91"/>
        <v/>
      </c>
    </row>
    <row r="2926" spans="2:3" x14ac:dyDescent="0.15">
      <c r="B2926" s="77" t="str">
        <f t="shared" ca="1" si="90"/>
        <v/>
      </c>
      <c r="C2926" s="11" t="str">
        <f t="shared" ca="1" si="91"/>
        <v/>
      </c>
    </row>
    <row r="2927" spans="2:3" x14ac:dyDescent="0.15">
      <c r="B2927" s="77" t="str">
        <f t="shared" ca="1" si="90"/>
        <v/>
      </c>
      <c r="C2927" s="11" t="str">
        <f t="shared" ca="1" si="91"/>
        <v/>
      </c>
    </row>
    <row r="2928" spans="2:3" x14ac:dyDescent="0.15">
      <c r="B2928" s="77" t="str">
        <f t="shared" ca="1" si="90"/>
        <v/>
      </c>
      <c r="C2928" s="11" t="str">
        <f t="shared" ca="1" si="91"/>
        <v/>
      </c>
    </row>
    <row r="2929" spans="2:3" x14ac:dyDescent="0.15">
      <c r="B2929" s="77" t="str">
        <f t="shared" ca="1" si="90"/>
        <v/>
      </c>
      <c r="C2929" s="11" t="str">
        <f t="shared" ca="1" si="91"/>
        <v/>
      </c>
    </row>
    <row r="2930" spans="2:3" x14ac:dyDescent="0.15">
      <c r="B2930" s="77" t="str">
        <f t="shared" ca="1" si="90"/>
        <v/>
      </c>
      <c r="C2930" s="11" t="str">
        <f t="shared" ca="1" si="91"/>
        <v/>
      </c>
    </row>
    <row r="2931" spans="2:3" x14ac:dyDescent="0.15">
      <c r="B2931" s="77" t="str">
        <f t="shared" ca="1" si="90"/>
        <v/>
      </c>
      <c r="C2931" s="11" t="str">
        <f t="shared" ca="1" si="91"/>
        <v/>
      </c>
    </row>
    <row r="2932" spans="2:3" x14ac:dyDescent="0.15">
      <c r="B2932" s="77" t="str">
        <f t="shared" ca="1" si="90"/>
        <v/>
      </c>
      <c r="C2932" s="11" t="str">
        <f t="shared" ca="1" si="91"/>
        <v/>
      </c>
    </row>
    <row r="2933" spans="2:3" x14ac:dyDescent="0.15">
      <c r="B2933" s="77" t="str">
        <f t="shared" ca="1" si="90"/>
        <v/>
      </c>
      <c r="C2933" s="11" t="str">
        <f t="shared" ca="1" si="91"/>
        <v/>
      </c>
    </row>
    <row r="2934" spans="2:3" x14ac:dyDescent="0.15">
      <c r="B2934" s="77" t="str">
        <f t="shared" ca="1" si="90"/>
        <v/>
      </c>
      <c r="C2934" s="11" t="str">
        <f t="shared" ca="1" si="91"/>
        <v/>
      </c>
    </row>
    <row r="2935" spans="2:3" x14ac:dyDescent="0.15">
      <c r="B2935" s="77" t="str">
        <f t="shared" ca="1" si="90"/>
        <v/>
      </c>
      <c r="C2935" s="11" t="str">
        <f t="shared" ca="1" si="91"/>
        <v/>
      </c>
    </row>
    <row r="2936" spans="2:3" x14ac:dyDescent="0.15">
      <c r="B2936" s="77" t="str">
        <f t="shared" ca="1" si="90"/>
        <v/>
      </c>
      <c r="C2936" s="11" t="str">
        <f t="shared" ca="1" si="91"/>
        <v/>
      </c>
    </row>
    <row r="2937" spans="2:3" x14ac:dyDescent="0.15">
      <c r="B2937" s="77" t="str">
        <f t="shared" ca="1" si="90"/>
        <v/>
      </c>
      <c r="C2937" s="11" t="str">
        <f t="shared" ca="1" si="91"/>
        <v/>
      </c>
    </row>
    <row r="2938" spans="2:3" x14ac:dyDescent="0.15">
      <c r="B2938" s="77" t="str">
        <f t="shared" ca="1" si="90"/>
        <v/>
      </c>
      <c r="C2938" s="11" t="str">
        <f t="shared" ca="1" si="91"/>
        <v/>
      </c>
    </row>
    <row r="2939" spans="2:3" x14ac:dyDescent="0.15">
      <c r="B2939" s="77" t="str">
        <f t="shared" ca="1" si="90"/>
        <v/>
      </c>
      <c r="C2939" s="11" t="str">
        <f t="shared" ca="1" si="91"/>
        <v/>
      </c>
    </row>
    <row r="2940" spans="2:3" x14ac:dyDescent="0.15">
      <c r="B2940" s="77" t="str">
        <f t="shared" ca="1" si="90"/>
        <v/>
      </c>
      <c r="C2940" s="11" t="str">
        <f t="shared" ca="1" si="91"/>
        <v/>
      </c>
    </row>
    <row r="2941" spans="2:3" x14ac:dyDescent="0.15">
      <c r="B2941" s="77" t="str">
        <f t="shared" ca="1" si="90"/>
        <v/>
      </c>
      <c r="C2941" s="11" t="str">
        <f t="shared" ca="1" si="91"/>
        <v/>
      </c>
    </row>
    <row r="2942" spans="2:3" x14ac:dyDescent="0.15">
      <c r="B2942" s="77" t="str">
        <f t="shared" ca="1" si="90"/>
        <v/>
      </c>
      <c r="C2942" s="11" t="str">
        <f t="shared" ca="1" si="91"/>
        <v/>
      </c>
    </row>
    <row r="2943" spans="2:3" x14ac:dyDescent="0.15">
      <c r="B2943" s="77" t="str">
        <f t="shared" ca="1" si="90"/>
        <v/>
      </c>
      <c r="C2943" s="11" t="str">
        <f t="shared" ca="1" si="91"/>
        <v/>
      </c>
    </row>
    <row r="2944" spans="2:3" x14ac:dyDescent="0.15">
      <c r="B2944" s="77" t="str">
        <f t="shared" ca="1" si="90"/>
        <v/>
      </c>
      <c r="C2944" s="11" t="str">
        <f t="shared" ca="1" si="91"/>
        <v/>
      </c>
    </row>
    <row r="2945" spans="2:3" x14ac:dyDescent="0.15">
      <c r="B2945" s="77" t="str">
        <f t="shared" ca="1" si="90"/>
        <v/>
      </c>
      <c r="C2945" s="11" t="str">
        <f t="shared" ca="1" si="91"/>
        <v/>
      </c>
    </row>
    <row r="2946" spans="2:3" x14ac:dyDescent="0.15">
      <c r="B2946" s="77" t="str">
        <f t="shared" ref="B2946:B3009" ca="1" si="92">IFERROR(VLOOKUP(TEXT(A2946,"00000000"),analysis_table_by_barcode,15,FALSE),"")</f>
        <v/>
      </c>
      <c r="C2946" s="11" t="str">
        <f t="shared" ref="C2946:C3009" ca="1" si="93">IF($B2946&lt;&gt;"", IF(VLOOKUP(B2946, final_to_ministry_result,2,FALSE)&lt;&gt;"",VLOOKUP(B2946, final_to_ministry_result,2,FALSE),""),"")</f>
        <v/>
      </c>
    </row>
    <row r="2947" spans="2:3" x14ac:dyDescent="0.15">
      <c r="B2947" s="77" t="str">
        <f t="shared" ca="1" si="92"/>
        <v/>
      </c>
      <c r="C2947" s="11" t="str">
        <f t="shared" ca="1" si="93"/>
        <v/>
      </c>
    </row>
    <row r="2948" spans="2:3" x14ac:dyDescent="0.15">
      <c r="B2948" s="77" t="str">
        <f t="shared" ca="1" si="92"/>
        <v/>
      </c>
      <c r="C2948" s="11" t="str">
        <f t="shared" ca="1" si="93"/>
        <v/>
      </c>
    </row>
    <row r="2949" spans="2:3" x14ac:dyDescent="0.15">
      <c r="B2949" s="77" t="str">
        <f t="shared" ca="1" si="92"/>
        <v/>
      </c>
      <c r="C2949" s="11" t="str">
        <f t="shared" ca="1" si="93"/>
        <v/>
      </c>
    </row>
    <row r="2950" spans="2:3" x14ac:dyDescent="0.15">
      <c r="B2950" s="77" t="str">
        <f t="shared" ca="1" si="92"/>
        <v/>
      </c>
      <c r="C2950" s="11" t="str">
        <f t="shared" ca="1" si="93"/>
        <v/>
      </c>
    </row>
    <row r="2951" spans="2:3" x14ac:dyDescent="0.15">
      <c r="B2951" s="77" t="str">
        <f t="shared" ca="1" si="92"/>
        <v/>
      </c>
      <c r="C2951" s="11" t="str">
        <f t="shared" ca="1" si="93"/>
        <v/>
      </c>
    </row>
    <row r="2952" spans="2:3" x14ac:dyDescent="0.15">
      <c r="B2952" s="77" t="str">
        <f t="shared" ca="1" si="92"/>
        <v/>
      </c>
      <c r="C2952" s="11" t="str">
        <f t="shared" ca="1" si="93"/>
        <v/>
      </c>
    </row>
    <row r="2953" spans="2:3" x14ac:dyDescent="0.15">
      <c r="B2953" s="77" t="str">
        <f t="shared" ca="1" si="92"/>
        <v/>
      </c>
      <c r="C2953" s="11" t="str">
        <f t="shared" ca="1" si="93"/>
        <v/>
      </c>
    </row>
    <row r="2954" spans="2:3" x14ac:dyDescent="0.15">
      <c r="B2954" s="77" t="str">
        <f t="shared" ca="1" si="92"/>
        <v/>
      </c>
      <c r="C2954" s="11" t="str">
        <f t="shared" ca="1" si="93"/>
        <v/>
      </c>
    </row>
    <row r="2955" spans="2:3" x14ac:dyDescent="0.15">
      <c r="B2955" s="77" t="str">
        <f t="shared" ca="1" si="92"/>
        <v/>
      </c>
      <c r="C2955" s="11" t="str">
        <f t="shared" ca="1" si="93"/>
        <v/>
      </c>
    </row>
    <row r="2956" spans="2:3" x14ac:dyDescent="0.15">
      <c r="B2956" s="77" t="str">
        <f t="shared" ca="1" si="92"/>
        <v/>
      </c>
      <c r="C2956" s="11" t="str">
        <f t="shared" ca="1" si="93"/>
        <v/>
      </c>
    </row>
    <row r="2957" spans="2:3" x14ac:dyDescent="0.15">
      <c r="B2957" s="77" t="str">
        <f t="shared" ca="1" si="92"/>
        <v/>
      </c>
      <c r="C2957" s="11" t="str">
        <f t="shared" ca="1" si="93"/>
        <v/>
      </c>
    </row>
    <row r="2958" spans="2:3" x14ac:dyDescent="0.15">
      <c r="B2958" s="77" t="str">
        <f t="shared" ca="1" si="92"/>
        <v/>
      </c>
      <c r="C2958" s="11" t="str">
        <f t="shared" ca="1" si="93"/>
        <v/>
      </c>
    </row>
    <row r="2959" spans="2:3" x14ac:dyDescent="0.15">
      <c r="B2959" s="77" t="str">
        <f t="shared" ca="1" si="92"/>
        <v/>
      </c>
      <c r="C2959" s="11" t="str">
        <f t="shared" ca="1" si="93"/>
        <v/>
      </c>
    </row>
    <row r="2960" spans="2:3" x14ac:dyDescent="0.15">
      <c r="B2960" s="77" t="str">
        <f t="shared" ca="1" si="92"/>
        <v/>
      </c>
      <c r="C2960" s="11" t="str">
        <f t="shared" ca="1" si="93"/>
        <v/>
      </c>
    </row>
    <row r="2961" spans="2:3" x14ac:dyDescent="0.15">
      <c r="B2961" s="77" t="str">
        <f t="shared" ca="1" si="92"/>
        <v/>
      </c>
      <c r="C2961" s="11" t="str">
        <f t="shared" ca="1" si="93"/>
        <v/>
      </c>
    </row>
    <row r="2962" spans="2:3" x14ac:dyDescent="0.15">
      <c r="B2962" s="77" t="str">
        <f t="shared" ca="1" si="92"/>
        <v/>
      </c>
      <c r="C2962" s="11" t="str">
        <f t="shared" ca="1" si="93"/>
        <v/>
      </c>
    </row>
    <row r="2963" spans="2:3" x14ac:dyDescent="0.15">
      <c r="B2963" s="77" t="str">
        <f t="shared" ca="1" si="92"/>
        <v/>
      </c>
      <c r="C2963" s="11" t="str">
        <f t="shared" ca="1" si="93"/>
        <v/>
      </c>
    </row>
    <row r="2964" spans="2:3" x14ac:dyDescent="0.15">
      <c r="B2964" s="77" t="str">
        <f t="shared" ca="1" si="92"/>
        <v/>
      </c>
      <c r="C2964" s="11" t="str">
        <f t="shared" ca="1" si="93"/>
        <v/>
      </c>
    </row>
    <row r="2965" spans="2:3" x14ac:dyDescent="0.15">
      <c r="B2965" s="77" t="str">
        <f t="shared" ca="1" si="92"/>
        <v/>
      </c>
      <c r="C2965" s="11" t="str">
        <f t="shared" ca="1" si="93"/>
        <v/>
      </c>
    </row>
    <row r="2966" spans="2:3" x14ac:dyDescent="0.15">
      <c r="B2966" s="77" t="str">
        <f t="shared" ca="1" si="92"/>
        <v/>
      </c>
      <c r="C2966" s="11" t="str">
        <f t="shared" ca="1" si="93"/>
        <v/>
      </c>
    </row>
    <row r="2967" spans="2:3" x14ac:dyDescent="0.15">
      <c r="B2967" s="77" t="str">
        <f t="shared" ca="1" si="92"/>
        <v/>
      </c>
      <c r="C2967" s="11" t="str">
        <f t="shared" ca="1" si="93"/>
        <v/>
      </c>
    </row>
    <row r="2968" spans="2:3" x14ac:dyDescent="0.15">
      <c r="B2968" s="77" t="str">
        <f t="shared" ca="1" si="92"/>
        <v/>
      </c>
      <c r="C2968" s="11" t="str">
        <f t="shared" ca="1" si="93"/>
        <v/>
      </c>
    </row>
    <row r="2969" spans="2:3" x14ac:dyDescent="0.15">
      <c r="B2969" s="77" t="str">
        <f t="shared" ca="1" si="92"/>
        <v/>
      </c>
      <c r="C2969" s="11" t="str">
        <f t="shared" ca="1" si="93"/>
        <v/>
      </c>
    </row>
    <row r="2970" spans="2:3" x14ac:dyDescent="0.15">
      <c r="B2970" s="77" t="str">
        <f t="shared" ca="1" si="92"/>
        <v/>
      </c>
      <c r="C2970" s="11" t="str">
        <f t="shared" ca="1" si="93"/>
        <v/>
      </c>
    </row>
    <row r="2971" spans="2:3" x14ac:dyDescent="0.15">
      <c r="B2971" s="77" t="str">
        <f t="shared" ca="1" si="92"/>
        <v/>
      </c>
      <c r="C2971" s="11" t="str">
        <f t="shared" ca="1" si="93"/>
        <v/>
      </c>
    </row>
    <row r="2972" spans="2:3" x14ac:dyDescent="0.15">
      <c r="B2972" s="77" t="str">
        <f t="shared" ca="1" si="92"/>
        <v/>
      </c>
      <c r="C2972" s="11" t="str">
        <f t="shared" ca="1" si="93"/>
        <v/>
      </c>
    </row>
    <row r="2973" spans="2:3" x14ac:dyDescent="0.15">
      <c r="B2973" s="77" t="str">
        <f t="shared" ca="1" si="92"/>
        <v/>
      </c>
      <c r="C2973" s="11" t="str">
        <f t="shared" ca="1" si="93"/>
        <v/>
      </c>
    </row>
    <row r="2974" spans="2:3" x14ac:dyDescent="0.15">
      <c r="B2974" s="77" t="str">
        <f t="shared" ca="1" si="92"/>
        <v/>
      </c>
      <c r="C2974" s="11" t="str">
        <f t="shared" ca="1" si="93"/>
        <v/>
      </c>
    </row>
    <row r="2975" spans="2:3" x14ac:dyDescent="0.15">
      <c r="B2975" s="77" t="str">
        <f t="shared" ca="1" si="92"/>
        <v/>
      </c>
      <c r="C2975" s="11" t="str">
        <f t="shared" ca="1" si="93"/>
        <v/>
      </c>
    </row>
    <row r="2976" spans="2:3" x14ac:dyDescent="0.15">
      <c r="B2976" s="77" t="str">
        <f t="shared" ca="1" si="92"/>
        <v/>
      </c>
      <c r="C2976" s="11" t="str">
        <f t="shared" ca="1" si="93"/>
        <v/>
      </c>
    </row>
    <row r="2977" spans="2:3" x14ac:dyDescent="0.15">
      <c r="B2977" s="77" t="str">
        <f t="shared" ca="1" si="92"/>
        <v/>
      </c>
      <c r="C2977" s="11" t="str">
        <f t="shared" ca="1" si="93"/>
        <v/>
      </c>
    </row>
    <row r="2978" spans="2:3" x14ac:dyDescent="0.15">
      <c r="B2978" s="77" t="str">
        <f t="shared" ca="1" si="92"/>
        <v/>
      </c>
      <c r="C2978" s="11" t="str">
        <f t="shared" ca="1" si="93"/>
        <v/>
      </c>
    </row>
    <row r="2979" spans="2:3" x14ac:dyDescent="0.15">
      <c r="B2979" s="77" t="str">
        <f t="shared" ca="1" si="92"/>
        <v/>
      </c>
      <c r="C2979" s="11" t="str">
        <f t="shared" ca="1" si="93"/>
        <v/>
      </c>
    </row>
    <row r="2980" spans="2:3" x14ac:dyDescent="0.15">
      <c r="B2980" s="77" t="str">
        <f t="shared" ca="1" si="92"/>
        <v/>
      </c>
      <c r="C2980" s="11" t="str">
        <f t="shared" ca="1" si="93"/>
        <v/>
      </c>
    </row>
    <row r="2981" spans="2:3" x14ac:dyDescent="0.15">
      <c r="B2981" s="77" t="str">
        <f t="shared" ca="1" si="92"/>
        <v/>
      </c>
      <c r="C2981" s="11" t="str">
        <f t="shared" ca="1" si="93"/>
        <v/>
      </c>
    </row>
    <row r="2982" spans="2:3" x14ac:dyDescent="0.15">
      <c r="B2982" s="77" t="str">
        <f t="shared" ca="1" si="92"/>
        <v/>
      </c>
      <c r="C2982" s="11" t="str">
        <f t="shared" ca="1" si="93"/>
        <v/>
      </c>
    </row>
    <row r="2983" spans="2:3" x14ac:dyDescent="0.15">
      <c r="B2983" s="77" t="str">
        <f t="shared" ca="1" si="92"/>
        <v/>
      </c>
      <c r="C2983" s="11" t="str">
        <f t="shared" ca="1" si="93"/>
        <v/>
      </c>
    </row>
    <row r="2984" spans="2:3" x14ac:dyDescent="0.15">
      <c r="B2984" s="77" t="str">
        <f t="shared" ca="1" si="92"/>
        <v/>
      </c>
      <c r="C2984" s="11" t="str">
        <f t="shared" ca="1" si="93"/>
        <v/>
      </c>
    </row>
    <row r="2985" spans="2:3" x14ac:dyDescent="0.15">
      <c r="B2985" s="77" t="str">
        <f t="shared" ca="1" si="92"/>
        <v/>
      </c>
      <c r="C2985" s="11" t="str">
        <f t="shared" ca="1" si="93"/>
        <v/>
      </c>
    </row>
    <row r="2986" spans="2:3" x14ac:dyDescent="0.15">
      <c r="B2986" s="77" t="str">
        <f t="shared" ca="1" si="92"/>
        <v/>
      </c>
      <c r="C2986" s="11" t="str">
        <f t="shared" ca="1" si="93"/>
        <v/>
      </c>
    </row>
    <row r="2987" spans="2:3" x14ac:dyDescent="0.15">
      <c r="B2987" s="77" t="str">
        <f t="shared" ca="1" si="92"/>
        <v/>
      </c>
      <c r="C2987" s="11" t="str">
        <f t="shared" ca="1" si="93"/>
        <v/>
      </c>
    </row>
    <row r="2988" spans="2:3" x14ac:dyDescent="0.15">
      <c r="B2988" s="77" t="str">
        <f t="shared" ca="1" si="92"/>
        <v/>
      </c>
      <c r="C2988" s="11" t="str">
        <f t="shared" ca="1" si="93"/>
        <v/>
      </c>
    </row>
    <row r="2989" spans="2:3" x14ac:dyDescent="0.15">
      <c r="B2989" s="77" t="str">
        <f t="shared" ca="1" si="92"/>
        <v/>
      </c>
      <c r="C2989" s="11" t="str">
        <f t="shared" ca="1" si="93"/>
        <v/>
      </c>
    </row>
    <row r="2990" spans="2:3" x14ac:dyDescent="0.15">
      <c r="B2990" s="77" t="str">
        <f t="shared" ca="1" si="92"/>
        <v/>
      </c>
      <c r="C2990" s="11" t="str">
        <f t="shared" ca="1" si="93"/>
        <v/>
      </c>
    </row>
    <row r="2991" spans="2:3" x14ac:dyDescent="0.15">
      <c r="B2991" s="77" t="str">
        <f t="shared" ca="1" si="92"/>
        <v/>
      </c>
      <c r="C2991" s="11" t="str">
        <f t="shared" ca="1" si="93"/>
        <v/>
      </c>
    </row>
    <row r="2992" spans="2:3" x14ac:dyDescent="0.15">
      <c r="B2992" s="77" t="str">
        <f t="shared" ca="1" si="92"/>
        <v/>
      </c>
      <c r="C2992" s="11" t="str">
        <f t="shared" ca="1" si="93"/>
        <v/>
      </c>
    </row>
    <row r="2993" spans="2:3" x14ac:dyDescent="0.15">
      <c r="B2993" s="77" t="str">
        <f t="shared" ca="1" si="92"/>
        <v/>
      </c>
      <c r="C2993" s="11" t="str">
        <f t="shared" ca="1" si="93"/>
        <v/>
      </c>
    </row>
    <row r="2994" spans="2:3" x14ac:dyDescent="0.15">
      <c r="B2994" s="77" t="str">
        <f t="shared" ca="1" si="92"/>
        <v/>
      </c>
      <c r="C2994" s="11" t="str">
        <f t="shared" ca="1" si="93"/>
        <v/>
      </c>
    </row>
    <row r="2995" spans="2:3" x14ac:dyDescent="0.15">
      <c r="B2995" s="77" t="str">
        <f t="shared" ca="1" si="92"/>
        <v/>
      </c>
      <c r="C2995" s="11" t="str">
        <f t="shared" ca="1" si="93"/>
        <v/>
      </c>
    </row>
    <row r="2996" spans="2:3" x14ac:dyDescent="0.15">
      <c r="B2996" s="77" t="str">
        <f t="shared" ca="1" si="92"/>
        <v/>
      </c>
      <c r="C2996" s="11" t="str">
        <f t="shared" ca="1" si="93"/>
        <v/>
      </c>
    </row>
    <row r="2997" spans="2:3" x14ac:dyDescent="0.15">
      <c r="B2997" s="77" t="str">
        <f t="shared" ca="1" si="92"/>
        <v/>
      </c>
      <c r="C2997" s="11" t="str">
        <f t="shared" ca="1" si="93"/>
        <v/>
      </c>
    </row>
    <row r="2998" spans="2:3" x14ac:dyDescent="0.15">
      <c r="B2998" s="77" t="str">
        <f t="shared" ca="1" si="92"/>
        <v/>
      </c>
      <c r="C2998" s="11" t="str">
        <f t="shared" ca="1" si="93"/>
        <v/>
      </c>
    </row>
    <row r="2999" spans="2:3" x14ac:dyDescent="0.15">
      <c r="B2999" s="77" t="str">
        <f t="shared" ca="1" si="92"/>
        <v/>
      </c>
      <c r="C2999" s="11" t="str">
        <f t="shared" ca="1" si="93"/>
        <v/>
      </c>
    </row>
    <row r="3000" spans="2:3" x14ac:dyDescent="0.15">
      <c r="B3000" s="77" t="str">
        <f t="shared" ca="1" si="92"/>
        <v/>
      </c>
      <c r="C3000" s="11" t="str">
        <f t="shared" ca="1" si="93"/>
        <v/>
      </c>
    </row>
    <row r="3001" spans="2:3" x14ac:dyDescent="0.15">
      <c r="B3001" s="77" t="str">
        <f t="shared" ca="1" si="92"/>
        <v/>
      </c>
      <c r="C3001" s="11" t="str">
        <f t="shared" ca="1" si="93"/>
        <v/>
      </c>
    </row>
    <row r="3002" spans="2:3" x14ac:dyDescent="0.15">
      <c r="B3002" s="77" t="str">
        <f t="shared" ca="1" si="92"/>
        <v/>
      </c>
      <c r="C3002" s="11" t="str">
        <f t="shared" ca="1" si="93"/>
        <v/>
      </c>
    </row>
    <row r="3003" spans="2:3" x14ac:dyDescent="0.15">
      <c r="B3003" s="77" t="str">
        <f t="shared" ca="1" si="92"/>
        <v/>
      </c>
      <c r="C3003" s="11" t="str">
        <f t="shared" ca="1" si="93"/>
        <v/>
      </c>
    </row>
    <row r="3004" spans="2:3" x14ac:dyDescent="0.15">
      <c r="B3004" s="77" t="str">
        <f t="shared" ca="1" si="92"/>
        <v/>
      </c>
      <c r="C3004" s="11" t="str">
        <f t="shared" ca="1" si="93"/>
        <v/>
      </c>
    </row>
    <row r="3005" spans="2:3" x14ac:dyDescent="0.15">
      <c r="B3005" s="77" t="str">
        <f t="shared" ca="1" si="92"/>
        <v/>
      </c>
      <c r="C3005" s="11" t="str">
        <f t="shared" ca="1" si="93"/>
        <v/>
      </c>
    </row>
    <row r="3006" spans="2:3" x14ac:dyDescent="0.15">
      <c r="B3006" s="77" t="str">
        <f t="shared" ca="1" si="92"/>
        <v/>
      </c>
      <c r="C3006" s="11" t="str">
        <f t="shared" ca="1" si="93"/>
        <v/>
      </c>
    </row>
    <row r="3007" spans="2:3" x14ac:dyDescent="0.15">
      <c r="B3007" s="77" t="str">
        <f t="shared" ca="1" si="92"/>
        <v/>
      </c>
      <c r="C3007" s="11" t="str">
        <f t="shared" ca="1" si="93"/>
        <v/>
      </c>
    </row>
    <row r="3008" spans="2:3" x14ac:dyDescent="0.15">
      <c r="B3008" s="77" t="str">
        <f t="shared" ca="1" si="92"/>
        <v/>
      </c>
      <c r="C3008" s="11" t="str">
        <f t="shared" ca="1" si="93"/>
        <v/>
      </c>
    </row>
    <row r="3009" spans="2:3" x14ac:dyDescent="0.15">
      <c r="B3009" s="77" t="str">
        <f t="shared" ca="1" si="92"/>
        <v/>
      </c>
      <c r="C3009" s="11" t="str">
        <f t="shared" ca="1" si="93"/>
        <v/>
      </c>
    </row>
    <row r="3010" spans="2:3" x14ac:dyDescent="0.15">
      <c r="B3010" s="77" t="str">
        <f t="shared" ref="B3010:B3073" ca="1" si="94">IFERROR(VLOOKUP(TEXT(A3010,"00000000"),analysis_table_by_barcode,15,FALSE),"")</f>
        <v/>
      </c>
      <c r="C3010" s="11" t="str">
        <f t="shared" ref="C3010:C3073" ca="1" si="95">IF($B3010&lt;&gt;"", IF(VLOOKUP(B3010, final_to_ministry_result,2,FALSE)&lt;&gt;"",VLOOKUP(B3010, final_to_ministry_result,2,FALSE),""),"")</f>
        <v/>
      </c>
    </row>
    <row r="3011" spans="2:3" x14ac:dyDescent="0.15">
      <c r="B3011" s="77" t="str">
        <f t="shared" ca="1" si="94"/>
        <v/>
      </c>
      <c r="C3011" s="11" t="str">
        <f t="shared" ca="1" si="95"/>
        <v/>
      </c>
    </row>
    <row r="3012" spans="2:3" x14ac:dyDescent="0.15">
      <c r="B3012" s="77" t="str">
        <f t="shared" ca="1" si="94"/>
        <v/>
      </c>
      <c r="C3012" s="11" t="str">
        <f t="shared" ca="1" si="95"/>
        <v/>
      </c>
    </row>
    <row r="3013" spans="2:3" x14ac:dyDescent="0.15">
      <c r="B3013" s="77" t="str">
        <f t="shared" ca="1" si="94"/>
        <v/>
      </c>
      <c r="C3013" s="11" t="str">
        <f t="shared" ca="1" si="95"/>
        <v/>
      </c>
    </row>
    <row r="3014" spans="2:3" x14ac:dyDescent="0.15">
      <c r="B3014" s="77" t="str">
        <f t="shared" ca="1" si="94"/>
        <v/>
      </c>
      <c r="C3014" s="11" t="str">
        <f t="shared" ca="1" si="95"/>
        <v/>
      </c>
    </row>
    <row r="3015" spans="2:3" x14ac:dyDescent="0.15">
      <c r="B3015" s="77" t="str">
        <f t="shared" ca="1" si="94"/>
        <v/>
      </c>
      <c r="C3015" s="11" t="str">
        <f t="shared" ca="1" si="95"/>
        <v/>
      </c>
    </row>
    <row r="3016" spans="2:3" x14ac:dyDescent="0.15">
      <c r="B3016" s="77" t="str">
        <f t="shared" ca="1" si="94"/>
        <v/>
      </c>
      <c r="C3016" s="11" t="str">
        <f t="shared" ca="1" si="95"/>
        <v/>
      </c>
    </row>
    <row r="3017" spans="2:3" x14ac:dyDescent="0.15">
      <c r="B3017" s="77" t="str">
        <f t="shared" ca="1" si="94"/>
        <v/>
      </c>
      <c r="C3017" s="11" t="str">
        <f t="shared" ca="1" si="95"/>
        <v/>
      </c>
    </row>
    <row r="3018" spans="2:3" x14ac:dyDescent="0.15">
      <c r="B3018" s="77" t="str">
        <f t="shared" ca="1" si="94"/>
        <v/>
      </c>
      <c r="C3018" s="11" t="str">
        <f t="shared" ca="1" si="95"/>
        <v/>
      </c>
    </row>
    <row r="3019" spans="2:3" x14ac:dyDescent="0.15">
      <c r="B3019" s="77" t="str">
        <f t="shared" ca="1" si="94"/>
        <v/>
      </c>
      <c r="C3019" s="11" t="str">
        <f t="shared" ca="1" si="95"/>
        <v/>
      </c>
    </row>
    <row r="3020" spans="2:3" x14ac:dyDescent="0.15">
      <c r="B3020" s="77" t="str">
        <f t="shared" ca="1" si="94"/>
        <v/>
      </c>
      <c r="C3020" s="11" t="str">
        <f t="shared" ca="1" si="95"/>
        <v/>
      </c>
    </row>
    <row r="3021" spans="2:3" x14ac:dyDescent="0.15">
      <c r="B3021" s="77" t="str">
        <f t="shared" ca="1" si="94"/>
        <v/>
      </c>
      <c r="C3021" s="11" t="str">
        <f t="shared" ca="1" si="95"/>
        <v/>
      </c>
    </row>
    <row r="3022" spans="2:3" x14ac:dyDescent="0.15">
      <c r="B3022" s="77" t="str">
        <f t="shared" ca="1" si="94"/>
        <v/>
      </c>
      <c r="C3022" s="11" t="str">
        <f t="shared" ca="1" si="95"/>
        <v/>
      </c>
    </row>
    <row r="3023" spans="2:3" x14ac:dyDescent="0.15">
      <c r="B3023" s="77" t="str">
        <f t="shared" ca="1" si="94"/>
        <v/>
      </c>
      <c r="C3023" s="11" t="str">
        <f t="shared" ca="1" si="95"/>
        <v/>
      </c>
    </row>
    <row r="3024" spans="2:3" x14ac:dyDescent="0.15">
      <c r="B3024" s="77" t="str">
        <f t="shared" ca="1" si="94"/>
        <v/>
      </c>
      <c r="C3024" s="11" t="str">
        <f t="shared" ca="1" si="95"/>
        <v/>
      </c>
    </row>
    <row r="3025" spans="2:3" x14ac:dyDescent="0.15">
      <c r="B3025" s="77" t="str">
        <f t="shared" ca="1" si="94"/>
        <v/>
      </c>
      <c r="C3025" s="11" t="str">
        <f t="shared" ca="1" si="95"/>
        <v/>
      </c>
    </row>
    <row r="3026" spans="2:3" x14ac:dyDescent="0.15">
      <c r="B3026" s="77" t="str">
        <f t="shared" ca="1" si="94"/>
        <v/>
      </c>
      <c r="C3026" s="11" t="str">
        <f t="shared" ca="1" si="95"/>
        <v/>
      </c>
    </row>
    <row r="3027" spans="2:3" x14ac:dyDescent="0.15">
      <c r="B3027" s="77" t="str">
        <f t="shared" ca="1" si="94"/>
        <v/>
      </c>
      <c r="C3027" s="11" t="str">
        <f t="shared" ca="1" si="95"/>
        <v/>
      </c>
    </row>
    <row r="3028" spans="2:3" x14ac:dyDescent="0.15">
      <c r="B3028" s="77" t="str">
        <f t="shared" ca="1" si="94"/>
        <v/>
      </c>
      <c r="C3028" s="11" t="str">
        <f t="shared" ca="1" si="95"/>
        <v/>
      </c>
    </row>
    <row r="3029" spans="2:3" x14ac:dyDescent="0.15">
      <c r="B3029" s="77" t="str">
        <f t="shared" ca="1" si="94"/>
        <v/>
      </c>
      <c r="C3029" s="11" t="str">
        <f t="shared" ca="1" si="95"/>
        <v/>
      </c>
    </row>
    <row r="3030" spans="2:3" x14ac:dyDescent="0.15">
      <c r="B3030" s="77" t="str">
        <f t="shared" ca="1" si="94"/>
        <v/>
      </c>
      <c r="C3030" s="11" t="str">
        <f t="shared" ca="1" si="95"/>
        <v/>
      </c>
    </row>
    <row r="3031" spans="2:3" x14ac:dyDescent="0.15">
      <c r="B3031" s="77" t="str">
        <f t="shared" ca="1" si="94"/>
        <v/>
      </c>
      <c r="C3031" s="11" t="str">
        <f t="shared" ca="1" si="95"/>
        <v/>
      </c>
    </row>
    <row r="3032" spans="2:3" x14ac:dyDescent="0.15">
      <c r="B3032" s="77" t="str">
        <f t="shared" ca="1" si="94"/>
        <v/>
      </c>
      <c r="C3032" s="11" t="str">
        <f t="shared" ca="1" si="95"/>
        <v/>
      </c>
    </row>
    <row r="3033" spans="2:3" x14ac:dyDescent="0.15">
      <c r="B3033" s="77" t="str">
        <f t="shared" ca="1" si="94"/>
        <v/>
      </c>
      <c r="C3033" s="11" t="str">
        <f t="shared" ca="1" si="95"/>
        <v/>
      </c>
    </row>
    <row r="3034" spans="2:3" x14ac:dyDescent="0.15">
      <c r="B3034" s="77" t="str">
        <f t="shared" ca="1" si="94"/>
        <v/>
      </c>
      <c r="C3034" s="11" t="str">
        <f t="shared" ca="1" si="95"/>
        <v/>
      </c>
    </row>
    <row r="3035" spans="2:3" x14ac:dyDescent="0.15">
      <c r="B3035" s="77" t="str">
        <f t="shared" ca="1" si="94"/>
        <v/>
      </c>
      <c r="C3035" s="11" t="str">
        <f t="shared" ca="1" si="95"/>
        <v/>
      </c>
    </row>
    <row r="3036" spans="2:3" x14ac:dyDescent="0.15">
      <c r="B3036" s="77" t="str">
        <f t="shared" ca="1" si="94"/>
        <v/>
      </c>
      <c r="C3036" s="11" t="str">
        <f t="shared" ca="1" si="95"/>
        <v/>
      </c>
    </row>
    <row r="3037" spans="2:3" x14ac:dyDescent="0.15">
      <c r="B3037" s="77" t="str">
        <f t="shared" ca="1" si="94"/>
        <v/>
      </c>
      <c r="C3037" s="11" t="str">
        <f t="shared" ca="1" si="95"/>
        <v/>
      </c>
    </row>
    <row r="3038" spans="2:3" x14ac:dyDescent="0.15">
      <c r="B3038" s="77" t="str">
        <f t="shared" ca="1" si="94"/>
        <v/>
      </c>
      <c r="C3038" s="11" t="str">
        <f t="shared" ca="1" si="95"/>
        <v/>
      </c>
    </row>
    <row r="3039" spans="2:3" x14ac:dyDescent="0.15">
      <c r="B3039" s="77" t="str">
        <f t="shared" ca="1" si="94"/>
        <v/>
      </c>
      <c r="C3039" s="11" t="str">
        <f t="shared" ca="1" si="95"/>
        <v/>
      </c>
    </row>
    <row r="3040" spans="2:3" x14ac:dyDescent="0.15">
      <c r="B3040" s="77" t="str">
        <f t="shared" ca="1" si="94"/>
        <v/>
      </c>
      <c r="C3040" s="11" t="str">
        <f t="shared" ca="1" si="95"/>
        <v/>
      </c>
    </row>
    <row r="3041" spans="2:3" x14ac:dyDescent="0.15">
      <c r="B3041" s="77" t="str">
        <f t="shared" ca="1" si="94"/>
        <v/>
      </c>
      <c r="C3041" s="11" t="str">
        <f t="shared" ca="1" si="95"/>
        <v/>
      </c>
    </row>
    <row r="3042" spans="2:3" x14ac:dyDescent="0.15">
      <c r="B3042" s="77" t="str">
        <f t="shared" ca="1" si="94"/>
        <v/>
      </c>
      <c r="C3042" s="11" t="str">
        <f t="shared" ca="1" si="95"/>
        <v/>
      </c>
    </row>
    <row r="3043" spans="2:3" x14ac:dyDescent="0.15">
      <c r="B3043" s="77" t="str">
        <f t="shared" ca="1" si="94"/>
        <v/>
      </c>
      <c r="C3043" s="11" t="str">
        <f t="shared" ca="1" si="95"/>
        <v/>
      </c>
    </row>
    <row r="3044" spans="2:3" x14ac:dyDescent="0.15">
      <c r="B3044" s="77" t="str">
        <f t="shared" ca="1" si="94"/>
        <v/>
      </c>
      <c r="C3044" s="11" t="str">
        <f t="shared" ca="1" si="95"/>
        <v/>
      </c>
    </row>
    <row r="3045" spans="2:3" x14ac:dyDescent="0.15">
      <c r="B3045" s="77" t="str">
        <f t="shared" ca="1" si="94"/>
        <v/>
      </c>
      <c r="C3045" s="11" t="str">
        <f t="shared" ca="1" si="95"/>
        <v/>
      </c>
    </row>
    <row r="3046" spans="2:3" x14ac:dyDescent="0.15">
      <c r="B3046" s="77" t="str">
        <f t="shared" ca="1" si="94"/>
        <v/>
      </c>
      <c r="C3046" s="11" t="str">
        <f t="shared" ca="1" si="95"/>
        <v/>
      </c>
    </row>
    <row r="3047" spans="2:3" x14ac:dyDescent="0.15">
      <c r="B3047" s="77" t="str">
        <f t="shared" ca="1" si="94"/>
        <v/>
      </c>
      <c r="C3047" s="11" t="str">
        <f t="shared" ca="1" si="95"/>
        <v/>
      </c>
    </row>
    <row r="3048" spans="2:3" x14ac:dyDescent="0.15">
      <c r="B3048" s="77" t="str">
        <f t="shared" ca="1" si="94"/>
        <v/>
      </c>
      <c r="C3048" s="11" t="str">
        <f t="shared" ca="1" si="95"/>
        <v/>
      </c>
    </row>
    <row r="3049" spans="2:3" x14ac:dyDescent="0.15">
      <c r="B3049" s="77" t="str">
        <f t="shared" ca="1" si="94"/>
        <v/>
      </c>
      <c r="C3049" s="11" t="str">
        <f t="shared" ca="1" si="95"/>
        <v/>
      </c>
    </row>
    <row r="3050" spans="2:3" x14ac:dyDescent="0.15">
      <c r="B3050" s="77" t="str">
        <f t="shared" ca="1" si="94"/>
        <v/>
      </c>
      <c r="C3050" s="11" t="str">
        <f t="shared" ca="1" si="95"/>
        <v/>
      </c>
    </row>
    <row r="3051" spans="2:3" x14ac:dyDescent="0.15">
      <c r="B3051" s="77" t="str">
        <f t="shared" ca="1" si="94"/>
        <v/>
      </c>
      <c r="C3051" s="11" t="str">
        <f t="shared" ca="1" si="95"/>
        <v/>
      </c>
    </row>
    <row r="3052" spans="2:3" x14ac:dyDescent="0.15">
      <c r="B3052" s="77" t="str">
        <f t="shared" ca="1" si="94"/>
        <v/>
      </c>
      <c r="C3052" s="11" t="str">
        <f t="shared" ca="1" si="95"/>
        <v/>
      </c>
    </row>
    <row r="3053" spans="2:3" x14ac:dyDescent="0.15">
      <c r="B3053" s="77" t="str">
        <f t="shared" ca="1" si="94"/>
        <v/>
      </c>
      <c r="C3053" s="11" t="str">
        <f t="shared" ca="1" si="95"/>
        <v/>
      </c>
    </row>
    <row r="3054" spans="2:3" x14ac:dyDescent="0.15">
      <c r="B3054" s="77" t="str">
        <f t="shared" ca="1" si="94"/>
        <v/>
      </c>
      <c r="C3054" s="11" t="str">
        <f t="shared" ca="1" si="95"/>
        <v/>
      </c>
    </row>
    <row r="3055" spans="2:3" x14ac:dyDescent="0.15">
      <c r="B3055" s="77" t="str">
        <f t="shared" ca="1" si="94"/>
        <v/>
      </c>
      <c r="C3055" s="11" t="str">
        <f t="shared" ca="1" si="95"/>
        <v/>
      </c>
    </row>
    <row r="3056" spans="2:3" x14ac:dyDescent="0.15">
      <c r="B3056" s="77" t="str">
        <f t="shared" ca="1" si="94"/>
        <v/>
      </c>
      <c r="C3056" s="11" t="str">
        <f t="shared" ca="1" si="95"/>
        <v/>
      </c>
    </row>
    <row r="3057" spans="2:3" x14ac:dyDescent="0.15">
      <c r="B3057" s="77" t="str">
        <f t="shared" ca="1" si="94"/>
        <v/>
      </c>
      <c r="C3057" s="11" t="str">
        <f t="shared" ca="1" si="95"/>
        <v/>
      </c>
    </row>
    <row r="3058" spans="2:3" x14ac:dyDescent="0.15">
      <c r="B3058" s="77" t="str">
        <f t="shared" ca="1" si="94"/>
        <v/>
      </c>
      <c r="C3058" s="11" t="str">
        <f t="shared" ca="1" si="95"/>
        <v/>
      </c>
    </row>
    <row r="3059" spans="2:3" x14ac:dyDescent="0.15">
      <c r="B3059" s="77" t="str">
        <f t="shared" ca="1" si="94"/>
        <v/>
      </c>
      <c r="C3059" s="11" t="str">
        <f t="shared" ca="1" si="95"/>
        <v/>
      </c>
    </row>
    <row r="3060" spans="2:3" x14ac:dyDescent="0.15">
      <c r="B3060" s="77" t="str">
        <f t="shared" ca="1" si="94"/>
        <v/>
      </c>
      <c r="C3060" s="11" t="str">
        <f t="shared" ca="1" si="95"/>
        <v/>
      </c>
    </row>
    <row r="3061" spans="2:3" x14ac:dyDescent="0.15">
      <c r="B3061" s="77" t="str">
        <f t="shared" ca="1" si="94"/>
        <v/>
      </c>
      <c r="C3061" s="11" t="str">
        <f t="shared" ca="1" si="95"/>
        <v/>
      </c>
    </row>
    <row r="3062" spans="2:3" x14ac:dyDescent="0.15">
      <c r="B3062" s="77" t="str">
        <f t="shared" ca="1" si="94"/>
        <v/>
      </c>
      <c r="C3062" s="11" t="str">
        <f t="shared" ca="1" si="95"/>
        <v/>
      </c>
    </row>
    <row r="3063" spans="2:3" x14ac:dyDescent="0.15">
      <c r="B3063" s="77" t="str">
        <f t="shared" ca="1" si="94"/>
        <v/>
      </c>
      <c r="C3063" s="11" t="str">
        <f t="shared" ca="1" si="95"/>
        <v/>
      </c>
    </row>
    <row r="3064" spans="2:3" x14ac:dyDescent="0.15">
      <c r="B3064" s="77" t="str">
        <f t="shared" ca="1" si="94"/>
        <v/>
      </c>
      <c r="C3064" s="11" t="str">
        <f t="shared" ca="1" si="95"/>
        <v/>
      </c>
    </row>
    <row r="3065" spans="2:3" x14ac:dyDescent="0.15">
      <c r="B3065" s="77" t="str">
        <f t="shared" ca="1" si="94"/>
        <v/>
      </c>
      <c r="C3065" s="11" t="str">
        <f t="shared" ca="1" si="95"/>
        <v/>
      </c>
    </row>
    <row r="3066" spans="2:3" x14ac:dyDescent="0.15">
      <c r="B3066" s="77" t="str">
        <f t="shared" ca="1" si="94"/>
        <v/>
      </c>
      <c r="C3066" s="11" t="str">
        <f t="shared" ca="1" si="95"/>
        <v/>
      </c>
    </row>
    <row r="3067" spans="2:3" x14ac:dyDescent="0.15">
      <c r="B3067" s="77" t="str">
        <f t="shared" ca="1" si="94"/>
        <v/>
      </c>
      <c r="C3067" s="11" t="str">
        <f t="shared" ca="1" si="95"/>
        <v/>
      </c>
    </row>
    <row r="3068" spans="2:3" x14ac:dyDescent="0.15">
      <c r="B3068" s="77" t="str">
        <f t="shared" ca="1" si="94"/>
        <v/>
      </c>
      <c r="C3068" s="11" t="str">
        <f t="shared" ca="1" si="95"/>
        <v/>
      </c>
    </row>
    <row r="3069" spans="2:3" x14ac:dyDescent="0.15">
      <c r="B3069" s="77" t="str">
        <f t="shared" ca="1" si="94"/>
        <v/>
      </c>
      <c r="C3069" s="11" t="str">
        <f t="shared" ca="1" si="95"/>
        <v/>
      </c>
    </row>
    <row r="3070" spans="2:3" x14ac:dyDescent="0.15">
      <c r="B3070" s="77" t="str">
        <f t="shared" ca="1" si="94"/>
        <v/>
      </c>
      <c r="C3070" s="11" t="str">
        <f t="shared" ca="1" si="95"/>
        <v/>
      </c>
    </row>
    <row r="3071" spans="2:3" x14ac:dyDescent="0.15">
      <c r="B3071" s="77" t="str">
        <f t="shared" ca="1" si="94"/>
        <v/>
      </c>
      <c r="C3071" s="11" t="str">
        <f t="shared" ca="1" si="95"/>
        <v/>
      </c>
    </row>
    <row r="3072" spans="2:3" x14ac:dyDescent="0.15">
      <c r="B3072" s="77" t="str">
        <f t="shared" ca="1" si="94"/>
        <v/>
      </c>
      <c r="C3072" s="11" t="str">
        <f t="shared" ca="1" si="95"/>
        <v/>
      </c>
    </row>
    <row r="3073" spans="2:3" x14ac:dyDescent="0.15">
      <c r="B3073" s="77" t="str">
        <f t="shared" ca="1" si="94"/>
        <v/>
      </c>
      <c r="C3073" s="11" t="str">
        <f t="shared" ca="1" si="95"/>
        <v/>
      </c>
    </row>
    <row r="3074" spans="2:3" x14ac:dyDescent="0.15">
      <c r="B3074" s="77" t="str">
        <f t="shared" ref="B3074:B3137" ca="1" si="96">IFERROR(VLOOKUP(TEXT(A3074,"00000000"),analysis_table_by_barcode,15,FALSE),"")</f>
        <v/>
      </c>
      <c r="C3074" s="11" t="str">
        <f t="shared" ref="C3074:C3137" ca="1" si="97">IF($B3074&lt;&gt;"", IF(VLOOKUP(B3074, final_to_ministry_result,2,FALSE)&lt;&gt;"",VLOOKUP(B3074, final_to_ministry_result,2,FALSE),""),"")</f>
        <v/>
      </c>
    </row>
    <row r="3075" spans="2:3" x14ac:dyDescent="0.15">
      <c r="B3075" s="77" t="str">
        <f t="shared" ca="1" si="96"/>
        <v/>
      </c>
      <c r="C3075" s="11" t="str">
        <f t="shared" ca="1" si="97"/>
        <v/>
      </c>
    </row>
    <row r="3076" spans="2:3" x14ac:dyDescent="0.15">
      <c r="B3076" s="77" t="str">
        <f t="shared" ca="1" si="96"/>
        <v/>
      </c>
      <c r="C3076" s="11" t="str">
        <f t="shared" ca="1" si="97"/>
        <v/>
      </c>
    </row>
    <row r="3077" spans="2:3" x14ac:dyDescent="0.15">
      <c r="B3077" s="77" t="str">
        <f t="shared" ca="1" si="96"/>
        <v/>
      </c>
      <c r="C3077" s="11" t="str">
        <f t="shared" ca="1" si="97"/>
        <v/>
      </c>
    </row>
    <row r="3078" spans="2:3" x14ac:dyDescent="0.15">
      <c r="B3078" s="77" t="str">
        <f t="shared" ca="1" si="96"/>
        <v/>
      </c>
      <c r="C3078" s="11" t="str">
        <f t="shared" ca="1" si="97"/>
        <v/>
      </c>
    </row>
    <row r="3079" spans="2:3" x14ac:dyDescent="0.15">
      <c r="B3079" s="77" t="str">
        <f t="shared" ca="1" si="96"/>
        <v/>
      </c>
      <c r="C3079" s="11" t="str">
        <f t="shared" ca="1" si="97"/>
        <v/>
      </c>
    </row>
    <row r="3080" spans="2:3" x14ac:dyDescent="0.15">
      <c r="B3080" s="77" t="str">
        <f t="shared" ca="1" si="96"/>
        <v/>
      </c>
      <c r="C3080" s="11" t="str">
        <f t="shared" ca="1" si="97"/>
        <v/>
      </c>
    </row>
    <row r="3081" spans="2:3" x14ac:dyDescent="0.15">
      <c r="B3081" s="77" t="str">
        <f t="shared" ca="1" si="96"/>
        <v/>
      </c>
      <c r="C3081" s="11" t="str">
        <f t="shared" ca="1" si="97"/>
        <v/>
      </c>
    </row>
    <row r="3082" spans="2:3" x14ac:dyDescent="0.15">
      <c r="B3082" s="77" t="str">
        <f t="shared" ca="1" si="96"/>
        <v/>
      </c>
      <c r="C3082" s="11" t="str">
        <f t="shared" ca="1" si="97"/>
        <v/>
      </c>
    </row>
    <row r="3083" spans="2:3" x14ac:dyDescent="0.15">
      <c r="B3083" s="77" t="str">
        <f t="shared" ca="1" si="96"/>
        <v/>
      </c>
      <c r="C3083" s="11" t="str">
        <f t="shared" ca="1" si="97"/>
        <v/>
      </c>
    </row>
    <row r="3084" spans="2:3" x14ac:dyDescent="0.15">
      <c r="B3084" s="77" t="str">
        <f t="shared" ca="1" si="96"/>
        <v/>
      </c>
      <c r="C3084" s="11" t="str">
        <f t="shared" ca="1" si="97"/>
        <v/>
      </c>
    </row>
    <row r="3085" spans="2:3" x14ac:dyDescent="0.15">
      <c r="B3085" s="77" t="str">
        <f t="shared" ca="1" si="96"/>
        <v/>
      </c>
      <c r="C3085" s="11" t="str">
        <f t="shared" ca="1" si="97"/>
        <v/>
      </c>
    </row>
    <row r="3086" spans="2:3" x14ac:dyDescent="0.15">
      <c r="B3086" s="77" t="str">
        <f t="shared" ca="1" si="96"/>
        <v/>
      </c>
      <c r="C3086" s="11" t="str">
        <f t="shared" ca="1" si="97"/>
        <v/>
      </c>
    </row>
    <row r="3087" spans="2:3" x14ac:dyDescent="0.15">
      <c r="B3087" s="77" t="str">
        <f t="shared" ca="1" si="96"/>
        <v/>
      </c>
      <c r="C3087" s="11" t="str">
        <f t="shared" ca="1" si="97"/>
        <v/>
      </c>
    </row>
    <row r="3088" spans="2:3" x14ac:dyDescent="0.15">
      <c r="B3088" s="77" t="str">
        <f t="shared" ca="1" si="96"/>
        <v/>
      </c>
      <c r="C3088" s="11" t="str">
        <f t="shared" ca="1" si="97"/>
        <v/>
      </c>
    </row>
    <row r="3089" spans="2:3" x14ac:dyDescent="0.15">
      <c r="B3089" s="77" t="str">
        <f t="shared" ca="1" si="96"/>
        <v/>
      </c>
      <c r="C3089" s="11" t="str">
        <f t="shared" ca="1" si="97"/>
        <v/>
      </c>
    </row>
    <row r="3090" spans="2:3" x14ac:dyDescent="0.15">
      <c r="B3090" s="77" t="str">
        <f t="shared" ca="1" si="96"/>
        <v/>
      </c>
      <c r="C3090" s="11" t="str">
        <f t="shared" ca="1" si="97"/>
        <v/>
      </c>
    </row>
    <row r="3091" spans="2:3" x14ac:dyDescent="0.15">
      <c r="B3091" s="77" t="str">
        <f t="shared" ca="1" si="96"/>
        <v/>
      </c>
      <c r="C3091" s="11" t="str">
        <f t="shared" ca="1" si="97"/>
        <v/>
      </c>
    </row>
    <row r="3092" spans="2:3" x14ac:dyDescent="0.15">
      <c r="B3092" s="77" t="str">
        <f t="shared" ca="1" si="96"/>
        <v/>
      </c>
      <c r="C3092" s="11" t="str">
        <f t="shared" ca="1" si="97"/>
        <v/>
      </c>
    </row>
    <row r="3093" spans="2:3" x14ac:dyDescent="0.15">
      <c r="B3093" s="77" t="str">
        <f t="shared" ca="1" si="96"/>
        <v/>
      </c>
      <c r="C3093" s="11" t="str">
        <f t="shared" ca="1" si="97"/>
        <v/>
      </c>
    </row>
    <row r="3094" spans="2:3" x14ac:dyDescent="0.15">
      <c r="B3094" s="77" t="str">
        <f t="shared" ca="1" si="96"/>
        <v/>
      </c>
      <c r="C3094" s="11" t="str">
        <f t="shared" ca="1" si="97"/>
        <v/>
      </c>
    </row>
    <row r="3095" spans="2:3" x14ac:dyDescent="0.15">
      <c r="B3095" s="77" t="str">
        <f t="shared" ca="1" si="96"/>
        <v/>
      </c>
      <c r="C3095" s="11" t="str">
        <f t="shared" ca="1" si="97"/>
        <v/>
      </c>
    </row>
    <row r="3096" spans="2:3" x14ac:dyDescent="0.15">
      <c r="B3096" s="77" t="str">
        <f t="shared" ca="1" si="96"/>
        <v/>
      </c>
      <c r="C3096" s="11" t="str">
        <f t="shared" ca="1" si="97"/>
        <v/>
      </c>
    </row>
    <row r="3097" spans="2:3" x14ac:dyDescent="0.15">
      <c r="B3097" s="77" t="str">
        <f t="shared" ca="1" si="96"/>
        <v/>
      </c>
      <c r="C3097" s="11" t="str">
        <f t="shared" ca="1" si="97"/>
        <v/>
      </c>
    </row>
    <row r="3098" spans="2:3" x14ac:dyDescent="0.15">
      <c r="B3098" s="77" t="str">
        <f t="shared" ca="1" si="96"/>
        <v/>
      </c>
      <c r="C3098" s="11" t="str">
        <f t="shared" ca="1" si="97"/>
        <v/>
      </c>
    </row>
    <row r="3099" spans="2:3" x14ac:dyDescent="0.15">
      <c r="B3099" s="77" t="str">
        <f t="shared" ca="1" si="96"/>
        <v/>
      </c>
      <c r="C3099" s="11" t="str">
        <f t="shared" ca="1" si="97"/>
        <v/>
      </c>
    </row>
    <row r="3100" spans="2:3" x14ac:dyDescent="0.15">
      <c r="B3100" s="77" t="str">
        <f t="shared" ca="1" si="96"/>
        <v/>
      </c>
      <c r="C3100" s="11" t="str">
        <f t="shared" ca="1" si="97"/>
        <v/>
      </c>
    </row>
    <row r="3101" spans="2:3" x14ac:dyDescent="0.15">
      <c r="B3101" s="77" t="str">
        <f t="shared" ca="1" si="96"/>
        <v/>
      </c>
      <c r="C3101" s="11" t="str">
        <f t="shared" ca="1" si="97"/>
        <v/>
      </c>
    </row>
    <row r="3102" spans="2:3" x14ac:dyDescent="0.15">
      <c r="B3102" s="77" t="str">
        <f t="shared" ca="1" si="96"/>
        <v/>
      </c>
      <c r="C3102" s="11" t="str">
        <f t="shared" ca="1" si="97"/>
        <v/>
      </c>
    </row>
    <row r="3103" spans="2:3" x14ac:dyDescent="0.15">
      <c r="B3103" s="77" t="str">
        <f t="shared" ca="1" si="96"/>
        <v/>
      </c>
      <c r="C3103" s="11" t="str">
        <f t="shared" ca="1" si="97"/>
        <v/>
      </c>
    </row>
    <row r="3104" spans="2:3" x14ac:dyDescent="0.15">
      <c r="B3104" s="77" t="str">
        <f t="shared" ca="1" si="96"/>
        <v/>
      </c>
      <c r="C3104" s="11" t="str">
        <f t="shared" ca="1" si="97"/>
        <v/>
      </c>
    </row>
    <row r="3105" spans="2:3" x14ac:dyDescent="0.15">
      <c r="B3105" s="77" t="str">
        <f t="shared" ca="1" si="96"/>
        <v/>
      </c>
      <c r="C3105" s="11" t="str">
        <f t="shared" ca="1" si="97"/>
        <v/>
      </c>
    </row>
    <row r="3106" spans="2:3" x14ac:dyDescent="0.15">
      <c r="B3106" s="77" t="str">
        <f t="shared" ca="1" si="96"/>
        <v/>
      </c>
      <c r="C3106" s="11" t="str">
        <f t="shared" ca="1" si="97"/>
        <v/>
      </c>
    </row>
    <row r="3107" spans="2:3" x14ac:dyDescent="0.15">
      <c r="B3107" s="77" t="str">
        <f t="shared" ca="1" si="96"/>
        <v/>
      </c>
      <c r="C3107" s="11" t="str">
        <f t="shared" ca="1" si="97"/>
        <v/>
      </c>
    </row>
    <row r="3108" spans="2:3" x14ac:dyDescent="0.15">
      <c r="B3108" s="77" t="str">
        <f t="shared" ca="1" si="96"/>
        <v/>
      </c>
      <c r="C3108" s="11" t="str">
        <f t="shared" ca="1" si="97"/>
        <v/>
      </c>
    </row>
    <row r="3109" spans="2:3" x14ac:dyDescent="0.15">
      <c r="B3109" s="77" t="str">
        <f t="shared" ca="1" si="96"/>
        <v/>
      </c>
      <c r="C3109" s="11" t="str">
        <f t="shared" ca="1" si="97"/>
        <v/>
      </c>
    </row>
    <row r="3110" spans="2:3" x14ac:dyDescent="0.15">
      <c r="B3110" s="77" t="str">
        <f t="shared" ca="1" si="96"/>
        <v/>
      </c>
      <c r="C3110" s="11" t="str">
        <f t="shared" ca="1" si="97"/>
        <v/>
      </c>
    </row>
    <row r="3111" spans="2:3" x14ac:dyDescent="0.15">
      <c r="B3111" s="77" t="str">
        <f t="shared" ca="1" si="96"/>
        <v/>
      </c>
      <c r="C3111" s="11" t="str">
        <f t="shared" ca="1" si="97"/>
        <v/>
      </c>
    </row>
    <row r="3112" spans="2:3" x14ac:dyDescent="0.15">
      <c r="B3112" s="77" t="str">
        <f t="shared" ca="1" si="96"/>
        <v/>
      </c>
      <c r="C3112" s="11" t="str">
        <f t="shared" ca="1" si="97"/>
        <v/>
      </c>
    </row>
    <row r="3113" spans="2:3" x14ac:dyDescent="0.15">
      <c r="B3113" s="77" t="str">
        <f t="shared" ca="1" si="96"/>
        <v/>
      </c>
      <c r="C3113" s="11" t="str">
        <f t="shared" ca="1" si="97"/>
        <v/>
      </c>
    </row>
    <row r="3114" spans="2:3" x14ac:dyDescent="0.15">
      <c r="B3114" s="77" t="str">
        <f t="shared" ca="1" si="96"/>
        <v/>
      </c>
      <c r="C3114" s="11" t="str">
        <f t="shared" ca="1" si="97"/>
        <v/>
      </c>
    </row>
    <row r="3115" spans="2:3" x14ac:dyDescent="0.15">
      <c r="B3115" s="77" t="str">
        <f t="shared" ca="1" si="96"/>
        <v/>
      </c>
      <c r="C3115" s="11" t="str">
        <f t="shared" ca="1" si="97"/>
        <v/>
      </c>
    </row>
    <row r="3116" spans="2:3" x14ac:dyDescent="0.15">
      <c r="B3116" s="77" t="str">
        <f t="shared" ca="1" si="96"/>
        <v/>
      </c>
      <c r="C3116" s="11" t="str">
        <f t="shared" ca="1" si="97"/>
        <v/>
      </c>
    </row>
    <row r="3117" spans="2:3" x14ac:dyDescent="0.15">
      <c r="B3117" s="77" t="str">
        <f t="shared" ca="1" si="96"/>
        <v/>
      </c>
      <c r="C3117" s="11" t="str">
        <f t="shared" ca="1" si="97"/>
        <v/>
      </c>
    </row>
    <row r="3118" spans="2:3" x14ac:dyDescent="0.15">
      <c r="B3118" s="77" t="str">
        <f t="shared" ca="1" si="96"/>
        <v/>
      </c>
      <c r="C3118" s="11" t="str">
        <f t="shared" ca="1" si="97"/>
        <v/>
      </c>
    </row>
    <row r="3119" spans="2:3" x14ac:dyDescent="0.15">
      <c r="B3119" s="77" t="str">
        <f t="shared" ca="1" si="96"/>
        <v/>
      </c>
      <c r="C3119" s="11" t="str">
        <f t="shared" ca="1" si="97"/>
        <v/>
      </c>
    </row>
    <row r="3120" spans="2:3" x14ac:dyDescent="0.15">
      <c r="B3120" s="77" t="str">
        <f t="shared" ca="1" si="96"/>
        <v/>
      </c>
      <c r="C3120" s="11" t="str">
        <f t="shared" ca="1" si="97"/>
        <v/>
      </c>
    </row>
    <row r="3121" spans="2:3" x14ac:dyDescent="0.15">
      <c r="B3121" s="77" t="str">
        <f t="shared" ca="1" si="96"/>
        <v/>
      </c>
      <c r="C3121" s="11" t="str">
        <f t="shared" ca="1" si="97"/>
        <v/>
      </c>
    </row>
    <row r="3122" spans="2:3" x14ac:dyDescent="0.15">
      <c r="B3122" s="77" t="str">
        <f t="shared" ca="1" si="96"/>
        <v/>
      </c>
      <c r="C3122" s="11" t="str">
        <f t="shared" ca="1" si="97"/>
        <v/>
      </c>
    </row>
    <row r="3123" spans="2:3" x14ac:dyDescent="0.15">
      <c r="B3123" s="77" t="str">
        <f t="shared" ca="1" si="96"/>
        <v/>
      </c>
      <c r="C3123" s="11" t="str">
        <f t="shared" ca="1" si="97"/>
        <v/>
      </c>
    </row>
    <row r="3124" spans="2:3" x14ac:dyDescent="0.15">
      <c r="B3124" s="77" t="str">
        <f t="shared" ca="1" si="96"/>
        <v/>
      </c>
      <c r="C3124" s="11" t="str">
        <f t="shared" ca="1" si="97"/>
        <v/>
      </c>
    </row>
    <row r="3125" spans="2:3" x14ac:dyDescent="0.15">
      <c r="B3125" s="77" t="str">
        <f t="shared" ca="1" si="96"/>
        <v/>
      </c>
      <c r="C3125" s="11" t="str">
        <f t="shared" ca="1" si="97"/>
        <v/>
      </c>
    </row>
    <row r="3126" spans="2:3" x14ac:dyDescent="0.15">
      <c r="B3126" s="77" t="str">
        <f t="shared" ca="1" si="96"/>
        <v/>
      </c>
      <c r="C3126" s="11" t="str">
        <f t="shared" ca="1" si="97"/>
        <v/>
      </c>
    </row>
    <row r="3127" spans="2:3" x14ac:dyDescent="0.15">
      <c r="B3127" s="77" t="str">
        <f t="shared" ca="1" si="96"/>
        <v/>
      </c>
      <c r="C3127" s="11" t="str">
        <f t="shared" ca="1" si="97"/>
        <v/>
      </c>
    </row>
    <row r="3128" spans="2:3" x14ac:dyDescent="0.15">
      <c r="B3128" s="77" t="str">
        <f t="shared" ca="1" si="96"/>
        <v/>
      </c>
      <c r="C3128" s="11" t="str">
        <f t="shared" ca="1" si="97"/>
        <v/>
      </c>
    </row>
    <row r="3129" spans="2:3" x14ac:dyDescent="0.15">
      <c r="B3129" s="77" t="str">
        <f t="shared" ca="1" si="96"/>
        <v/>
      </c>
      <c r="C3129" s="11" t="str">
        <f t="shared" ca="1" si="97"/>
        <v/>
      </c>
    </row>
    <row r="3130" spans="2:3" x14ac:dyDescent="0.15">
      <c r="B3130" s="77" t="str">
        <f t="shared" ca="1" si="96"/>
        <v/>
      </c>
      <c r="C3130" s="11" t="str">
        <f t="shared" ca="1" si="97"/>
        <v/>
      </c>
    </row>
    <row r="3131" spans="2:3" x14ac:dyDescent="0.15">
      <c r="B3131" s="77" t="str">
        <f t="shared" ca="1" si="96"/>
        <v/>
      </c>
      <c r="C3131" s="11" t="str">
        <f t="shared" ca="1" si="97"/>
        <v/>
      </c>
    </row>
    <row r="3132" spans="2:3" x14ac:dyDescent="0.15">
      <c r="B3132" s="77" t="str">
        <f t="shared" ca="1" si="96"/>
        <v/>
      </c>
      <c r="C3132" s="11" t="str">
        <f t="shared" ca="1" si="97"/>
        <v/>
      </c>
    </row>
    <row r="3133" spans="2:3" x14ac:dyDescent="0.15">
      <c r="B3133" s="77" t="str">
        <f t="shared" ca="1" si="96"/>
        <v/>
      </c>
      <c r="C3133" s="11" t="str">
        <f t="shared" ca="1" si="97"/>
        <v/>
      </c>
    </row>
    <row r="3134" spans="2:3" x14ac:dyDescent="0.15">
      <c r="B3134" s="77" t="str">
        <f t="shared" ca="1" si="96"/>
        <v/>
      </c>
      <c r="C3134" s="11" t="str">
        <f t="shared" ca="1" si="97"/>
        <v/>
      </c>
    </row>
    <row r="3135" spans="2:3" x14ac:dyDescent="0.15">
      <c r="B3135" s="77" t="str">
        <f t="shared" ca="1" si="96"/>
        <v/>
      </c>
      <c r="C3135" s="11" t="str">
        <f t="shared" ca="1" si="97"/>
        <v/>
      </c>
    </row>
    <row r="3136" spans="2:3" x14ac:dyDescent="0.15">
      <c r="B3136" s="77" t="str">
        <f t="shared" ca="1" si="96"/>
        <v/>
      </c>
      <c r="C3136" s="11" t="str">
        <f t="shared" ca="1" si="97"/>
        <v/>
      </c>
    </row>
    <row r="3137" spans="2:3" x14ac:dyDescent="0.15">
      <c r="B3137" s="77" t="str">
        <f t="shared" ca="1" si="96"/>
        <v/>
      </c>
      <c r="C3137" s="11" t="str">
        <f t="shared" ca="1" si="97"/>
        <v/>
      </c>
    </row>
    <row r="3138" spans="2:3" x14ac:dyDescent="0.15">
      <c r="B3138" s="77" t="str">
        <f t="shared" ref="B3138:B3201" ca="1" si="98">IFERROR(VLOOKUP(TEXT(A3138,"00000000"),analysis_table_by_barcode,15,FALSE),"")</f>
        <v/>
      </c>
      <c r="C3138" s="11" t="str">
        <f t="shared" ref="C3138:C3201" ca="1" si="99">IF($B3138&lt;&gt;"", IF(VLOOKUP(B3138, final_to_ministry_result,2,FALSE)&lt;&gt;"",VLOOKUP(B3138, final_to_ministry_result,2,FALSE),""),"")</f>
        <v/>
      </c>
    </row>
    <row r="3139" spans="2:3" x14ac:dyDescent="0.15">
      <c r="B3139" s="77" t="str">
        <f t="shared" ca="1" si="98"/>
        <v/>
      </c>
      <c r="C3139" s="11" t="str">
        <f t="shared" ca="1" si="99"/>
        <v/>
      </c>
    </row>
    <row r="3140" spans="2:3" x14ac:dyDescent="0.15">
      <c r="B3140" s="77" t="str">
        <f t="shared" ca="1" si="98"/>
        <v/>
      </c>
      <c r="C3140" s="11" t="str">
        <f t="shared" ca="1" si="99"/>
        <v/>
      </c>
    </row>
    <row r="3141" spans="2:3" x14ac:dyDescent="0.15">
      <c r="B3141" s="77" t="str">
        <f t="shared" ca="1" si="98"/>
        <v/>
      </c>
      <c r="C3141" s="11" t="str">
        <f t="shared" ca="1" si="99"/>
        <v/>
      </c>
    </row>
    <row r="3142" spans="2:3" x14ac:dyDescent="0.15">
      <c r="B3142" s="77" t="str">
        <f t="shared" ca="1" si="98"/>
        <v/>
      </c>
      <c r="C3142" s="11" t="str">
        <f t="shared" ca="1" si="99"/>
        <v/>
      </c>
    </row>
    <row r="3143" spans="2:3" x14ac:dyDescent="0.15">
      <c r="B3143" s="77" t="str">
        <f t="shared" ca="1" si="98"/>
        <v/>
      </c>
      <c r="C3143" s="11" t="str">
        <f t="shared" ca="1" si="99"/>
        <v/>
      </c>
    </row>
    <row r="3144" spans="2:3" x14ac:dyDescent="0.15">
      <c r="B3144" s="77" t="str">
        <f t="shared" ca="1" si="98"/>
        <v/>
      </c>
      <c r="C3144" s="11" t="str">
        <f t="shared" ca="1" si="99"/>
        <v/>
      </c>
    </row>
    <row r="3145" spans="2:3" x14ac:dyDescent="0.15">
      <c r="B3145" s="77" t="str">
        <f t="shared" ca="1" si="98"/>
        <v/>
      </c>
      <c r="C3145" s="11" t="str">
        <f t="shared" ca="1" si="99"/>
        <v/>
      </c>
    </row>
    <row r="3146" spans="2:3" x14ac:dyDescent="0.15">
      <c r="B3146" s="77" t="str">
        <f t="shared" ca="1" si="98"/>
        <v/>
      </c>
      <c r="C3146" s="11" t="str">
        <f t="shared" ca="1" si="99"/>
        <v/>
      </c>
    </row>
    <row r="3147" spans="2:3" x14ac:dyDescent="0.15">
      <c r="B3147" s="77" t="str">
        <f t="shared" ca="1" si="98"/>
        <v/>
      </c>
      <c r="C3147" s="11" t="str">
        <f t="shared" ca="1" si="99"/>
        <v/>
      </c>
    </row>
    <row r="3148" spans="2:3" x14ac:dyDescent="0.15">
      <c r="B3148" s="77" t="str">
        <f t="shared" ca="1" si="98"/>
        <v/>
      </c>
      <c r="C3148" s="11" t="str">
        <f t="shared" ca="1" si="99"/>
        <v/>
      </c>
    </row>
    <row r="3149" spans="2:3" x14ac:dyDescent="0.15">
      <c r="B3149" s="77" t="str">
        <f t="shared" ca="1" si="98"/>
        <v/>
      </c>
      <c r="C3149" s="11" t="str">
        <f t="shared" ca="1" si="99"/>
        <v/>
      </c>
    </row>
    <row r="3150" spans="2:3" x14ac:dyDescent="0.15">
      <c r="B3150" s="77" t="str">
        <f t="shared" ca="1" si="98"/>
        <v/>
      </c>
      <c r="C3150" s="11" t="str">
        <f t="shared" ca="1" si="99"/>
        <v/>
      </c>
    </row>
    <row r="3151" spans="2:3" x14ac:dyDescent="0.15">
      <c r="B3151" s="77" t="str">
        <f t="shared" ca="1" si="98"/>
        <v/>
      </c>
      <c r="C3151" s="11" t="str">
        <f t="shared" ca="1" si="99"/>
        <v/>
      </c>
    </row>
    <row r="3152" spans="2:3" x14ac:dyDescent="0.15">
      <c r="B3152" s="77" t="str">
        <f t="shared" ca="1" si="98"/>
        <v/>
      </c>
      <c r="C3152" s="11" t="str">
        <f t="shared" ca="1" si="99"/>
        <v/>
      </c>
    </row>
    <row r="3153" spans="2:3" x14ac:dyDescent="0.15">
      <c r="B3153" s="77" t="str">
        <f t="shared" ca="1" si="98"/>
        <v/>
      </c>
      <c r="C3153" s="11" t="str">
        <f t="shared" ca="1" si="99"/>
        <v/>
      </c>
    </row>
    <row r="3154" spans="2:3" x14ac:dyDescent="0.15">
      <c r="B3154" s="77" t="str">
        <f t="shared" ca="1" si="98"/>
        <v/>
      </c>
      <c r="C3154" s="11" t="str">
        <f t="shared" ca="1" si="99"/>
        <v/>
      </c>
    </row>
    <row r="3155" spans="2:3" x14ac:dyDescent="0.15">
      <c r="B3155" s="77" t="str">
        <f t="shared" ca="1" si="98"/>
        <v/>
      </c>
      <c r="C3155" s="11" t="str">
        <f t="shared" ca="1" si="99"/>
        <v/>
      </c>
    </row>
    <row r="3156" spans="2:3" x14ac:dyDescent="0.15">
      <c r="B3156" s="77" t="str">
        <f t="shared" ca="1" si="98"/>
        <v/>
      </c>
      <c r="C3156" s="11" t="str">
        <f t="shared" ca="1" si="99"/>
        <v/>
      </c>
    </row>
    <row r="3157" spans="2:3" x14ac:dyDescent="0.15">
      <c r="B3157" s="77" t="str">
        <f t="shared" ca="1" si="98"/>
        <v/>
      </c>
      <c r="C3157" s="11" t="str">
        <f t="shared" ca="1" si="99"/>
        <v/>
      </c>
    </row>
    <row r="3158" spans="2:3" x14ac:dyDescent="0.15">
      <c r="B3158" s="77" t="str">
        <f t="shared" ca="1" si="98"/>
        <v/>
      </c>
      <c r="C3158" s="11" t="str">
        <f t="shared" ca="1" si="99"/>
        <v/>
      </c>
    </row>
    <row r="3159" spans="2:3" x14ac:dyDescent="0.15">
      <c r="B3159" s="77" t="str">
        <f t="shared" ca="1" si="98"/>
        <v/>
      </c>
      <c r="C3159" s="11" t="str">
        <f t="shared" ca="1" si="99"/>
        <v/>
      </c>
    </row>
    <row r="3160" spans="2:3" x14ac:dyDescent="0.15">
      <c r="B3160" s="77" t="str">
        <f t="shared" ca="1" si="98"/>
        <v/>
      </c>
      <c r="C3160" s="11" t="str">
        <f t="shared" ca="1" si="99"/>
        <v/>
      </c>
    </row>
    <row r="3161" spans="2:3" x14ac:dyDescent="0.15">
      <c r="B3161" s="77" t="str">
        <f t="shared" ca="1" si="98"/>
        <v/>
      </c>
      <c r="C3161" s="11" t="str">
        <f t="shared" ca="1" si="99"/>
        <v/>
      </c>
    </row>
    <row r="3162" spans="2:3" x14ac:dyDescent="0.15">
      <c r="B3162" s="77" t="str">
        <f t="shared" ca="1" si="98"/>
        <v/>
      </c>
      <c r="C3162" s="11" t="str">
        <f t="shared" ca="1" si="99"/>
        <v/>
      </c>
    </row>
    <row r="3163" spans="2:3" x14ac:dyDescent="0.15">
      <c r="B3163" s="77" t="str">
        <f t="shared" ca="1" si="98"/>
        <v/>
      </c>
      <c r="C3163" s="11" t="str">
        <f t="shared" ca="1" si="99"/>
        <v/>
      </c>
    </row>
    <row r="3164" spans="2:3" x14ac:dyDescent="0.15">
      <c r="B3164" s="77" t="str">
        <f t="shared" ca="1" si="98"/>
        <v/>
      </c>
      <c r="C3164" s="11" t="str">
        <f t="shared" ca="1" si="99"/>
        <v/>
      </c>
    </row>
    <row r="3165" spans="2:3" x14ac:dyDescent="0.15">
      <c r="B3165" s="77" t="str">
        <f t="shared" ca="1" si="98"/>
        <v/>
      </c>
      <c r="C3165" s="11" t="str">
        <f t="shared" ca="1" si="99"/>
        <v/>
      </c>
    </row>
    <row r="3166" spans="2:3" x14ac:dyDescent="0.15">
      <c r="B3166" s="77" t="str">
        <f t="shared" ca="1" si="98"/>
        <v/>
      </c>
      <c r="C3166" s="11" t="str">
        <f t="shared" ca="1" si="99"/>
        <v/>
      </c>
    </row>
    <row r="3167" spans="2:3" x14ac:dyDescent="0.15">
      <c r="B3167" s="77" t="str">
        <f t="shared" ca="1" si="98"/>
        <v/>
      </c>
      <c r="C3167" s="11" t="str">
        <f t="shared" ca="1" si="99"/>
        <v/>
      </c>
    </row>
    <row r="3168" spans="2:3" x14ac:dyDescent="0.15">
      <c r="B3168" s="77" t="str">
        <f t="shared" ca="1" si="98"/>
        <v/>
      </c>
      <c r="C3168" s="11" t="str">
        <f t="shared" ca="1" si="99"/>
        <v/>
      </c>
    </row>
    <row r="3169" spans="2:3" x14ac:dyDescent="0.15">
      <c r="B3169" s="77" t="str">
        <f t="shared" ca="1" si="98"/>
        <v/>
      </c>
      <c r="C3169" s="11" t="str">
        <f t="shared" ca="1" si="99"/>
        <v/>
      </c>
    </row>
    <row r="3170" spans="2:3" x14ac:dyDescent="0.15">
      <c r="B3170" s="77" t="str">
        <f t="shared" ca="1" si="98"/>
        <v/>
      </c>
      <c r="C3170" s="11" t="str">
        <f t="shared" ca="1" si="99"/>
        <v/>
      </c>
    </row>
    <row r="3171" spans="2:3" x14ac:dyDescent="0.15">
      <c r="B3171" s="77" t="str">
        <f t="shared" ca="1" si="98"/>
        <v/>
      </c>
      <c r="C3171" s="11" t="str">
        <f t="shared" ca="1" si="99"/>
        <v/>
      </c>
    </row>
    <row r="3172" spans="2:3" x14ac:dyDescent="0.15">
      <c r="B3172" s="77" t="str">
        <f t="shared" ca="1" si="98"/>
        <v/>
      </c>
      <c r="C3172" s="11" t="str">
        <f t="shared" ca="1" si="99"/>
        <v/>
      </c>
    </row>
    <row r="3173" spans="2:3" x14ac:dyDescent="0.15">
      <c r="B3173" s="77" t="str">
        <f t="shared" ca="1" si="98"/>
        <v/>
      </c>
      <c r="C3173" s="11" t="str">
        <f t="shared" ca="1" si="99"/>
        <v/>
      </c>
    </row>
    <row r="3174" spans="2:3" x14ac:dyDescent="0.15">
      <c r="B3174" s="77" t="str">
        <f t="shared" ca="1" si="98"/>
        <v/>
      </c>
      <c r="C3174" s="11" t="str">
        <f t="shared" ca="1" si="99"/>
        <v/>
      </c>
    </row>
    <row r="3175" spans="2:3" x14ac:dyDescent="0.15">
      <c r="B3175" s="77" t="str">
        <f t="shared" ca="1" si="98"/>
        <v/>
      </c>
      <c r="C3175" s="11" t="str">
        <f t="shared" ca="1" si="99"/>
        <v/>
      </c>
    </row>
    <row r="3176" spans="2:3" x14ac:dyDescent="0.15">
      <c r="B3176" s="77" t="str">
        <f t="shared" ca="1" si="98"/>
        <v/>
      </c>
      <c r="C3176" s="11" t="str">
        <f t="shared" ca="1" si="99"/>
        <v/>
      </c>
    </row>
    <row r="3177" spans="2:3" x14ac:dyDescent="0.15">
      <c r="B3177" s="77" t="str">
        <f t="shared" ca="1" si="98"/>
        <v/>
      </c>
      <c r="C3177" s="11" t="str">
        <f t="shared" ca="1" si="99"/>
        <v/>
      </c>
    </row>
    <row r="3178" spans="2:3" x14ac:dyDescent="0.15">
      <c r="B3178" s="77" t="str">
        <f t="shared" ca="1" si="98"/>
        <v/>
      </c>
      <c r="C3178" s="11" t="str">
        <f t="shared" ca="1" si="99"/>
        <v/>
      </c>
    </row>
    <row r="3179" spans="2:3" x14ac:dyDescent="0.15">
      <c r="B3179" s="77" t="str">
        <f t="shared" ca="1" si="98"/>
        <v/>
      </c>
      <c r="C3179" s="11" t="str">
        <f t="shared" ca="1" si="99"/>
        <v/>
      </c>
    </row>
    <row r="3180" spans="2:3" x14ac:dyDescent="0.15">
      <c r="B3180" s="77" t="str">
        <f t="shared" ca="1" si="98"/>
        <v/>
      </c>
      <c r="C3180" s="11" t="str">
        <f t="shared" ca="1" si="99"/>
        <v/>
      </c>
    </row>
    <row r="3181" spans="2:3" x14ac:dyDescent="0.15">
      <c r="B3181" s="77" t="str">
        <f t="shared" ca="1" si="98"/>
        <v/>
      </c>
      <c r="C3181" s="11" t="str">
        <f t="shared" ca="1" si="99"/>
        <v/>
      </c>
    </row>
    <row r="3182" spans="2:3" x14ac:dyDescent="0.15">
      <c r="B3182" s="77" t="str">
        <f t="shared" ca="1" si="98"/>
        <v/>
      </c>
      <c r="C3182" s="11" t="str">
        <f t="shared" ca="1" si="99"/>
        <v/>
      </c>
    </row>
    <row r="3183" spans="2:3" x14ac:dyDescent="0.15">
      <c r="B3183" s="77" t="str">
        <f t="shared" ca="1" si="98"/>
        <v/>
      </c>
      <c r="C3183" s="11" t="str">
        <f t="shared" ca="1" si="99"/>
        <v/>
      </c>
    </row>
    <row r="3184" spans="2:3" x14ac:dyDescent="0.15">
      <c r="B3184" s="77" t="str">
        <f t="shared" ca="1" si="98"/>
        <v/>
      </c>
      <c r="C3184" s="11" t="str">
        <f t="shared" ca="1" si="99"/>
        <v/>
      </c>
    </row>
    <row r="3185" spans="2:3" x14ac:dyDescent="0.15">
      <c r="B3185" s="77" t="str">
        <f t="shared" ca="1" si="98"/>
        <v/>
      </c>
      <c r="C3185" s="11" t="str">
        <f t="shared" ca="1" si="99"/>
        <v/>
      </c>
    </row>
    <row r="3186" spans="2:3" x14ac:dyDescent="0.15">
      <c r="B3186" s="77" t="str">
        <f t="shared" ca="1" si="98"/>
        <v/>
      </c>
      <c r="C3186" s="11" t="str">
        <f t="shared" ca="1" si="99"/>
        <v/>
      </c>
    </row>
    <row r="3187" spans="2:3" x14ac:dyDescent="0.15">
      <c r="B3187" s="77" t="str">
        <f t="shared" ca="1" si="98"/>
        <v/>
      </c>
      <c r="C3187" s="11" t="str">
        <f t="shared" ca="1" si="99"/>
        <v/>
      </c>
    </row>
    <row r="3188" spans="2:3" x14ac:dyDescent="0.15">
      <c r="B3188" s="77" t="str">
        <f t="shared" ca="1" si="98"/>
        <v/>
      </c>
      <c r="C3188" s="11" t="str">
        <f t="shared" ca="1" si="99"/>
        <v/>
      </c>
    </row>
    <row r="3189" spans="2:3" x14ac:dyDescent="0.15">
      <c r="B3189" s="77" t="str">
        <f t="shared" ca="1" si="98"/>
        <v/>
      </c>
      <c r="C3189" s="11" t="str">
        <f t="shared" ca="1" si="99"/>
        <v/>
      </c>
    </row>
    <row r="3190" spans="2:3" x14ac:dyDescent="0.15">
      <c r="B3190" s="77" t="str">
        <f t="shared" ca="1" si="98"/>
        <v/>
      </c>
      <c r="C3190" s="11" t="str">
        <f t="shared" ca="1" si="99"/>
        <v/>
      </c>
    </row>
    <row r="3191" spans="2:3" x14ac:dyDescent="0.15">
      <c r="B3191" s="77" t="str">
        <f t="shared" ca="1" si="98"/>
        <v/>
      </c>
      <c r="C3191" s="11" t="str">
        <f t="shared" ca="1" si="99"/>
        <v/>
      </c>
    </row>
    <row r="3192" spans="2:3" x14ac:dyDescent="0.15">
      <c r="B3192" s="77" t="str">
        <f t="shared" ca="1" si="98"/>
        <v/>
      </c>
      <c r="C3192" s="11" t="str">
        <f t="shared" ca="1" si="99"/>
        <v/>
      </c>
    </row>
    <row r="3193" spans="2:3" x14ac:dyDescent="0.15">
      <c r="B3193" s="77" t="str">
        <f t="shared" ca="1" si="98"/>
        <v/>
      </c>
      <c r="C3193" s="11" t="str">
        <f t="shared" ca="1" si="99"/>
        <v/>
      </c>
    </row>
    <row r="3194" spans="2:3" x14ac:dyDescent="0.15">
      <c r="B3194" s="77" t="str">
        <f t="shared" ca="1" si="98"/>
        <v/>
      </c>
      <c r="C3194" s="11" t="str">
        <f t="shared" ca="1" si="99"/>
        <v/>
      </c>
    </row>
    <row r="3195" spans="2:3" x14ac:dyDescent="0.15">
      <c r="B3195" s="77" t="str">
        <f t="shared" ca="1" si="98"/>
        <v/>
      </c>
      <c r="C3195" s="11" t="str">
        <f t="shared" ca="1" si="99"/>
        <v/>
      </c>
    </row>
    <row r="3196" spans="2:3" x14ac:dyDescent="0.15">
      <c r="B3196" s="77" t="str">
        <f t="shared" ca="1" si="98"/>
        <v/>
      </c>
      <c r="C3196" s="11" t="str">
        <f t="shared" ca="1" si="99"/>
        <v/>
      </c>
    </row>
    <row r="3197" spans="2:3" x14ac:dyDescent="0.15">
      <c r="B3197" s="77" t="str">
        <f t="shared" ca="1" si="98"/>
        <v/>
      </c>
      <c r="C3197" s="11" t="str">
        <f t="shared" ca="1" si="99"/>
        <v/>
      </c>
    </row>
    <row r="3198" spans="2:3" x14ac:dyDescent="0.15">
      <c r="B3198" s="77" t="str">
        <f t="shared" ca="1" si="98"/>
        <v/>
      </c>
      <c r="C3198" s="11" t="str">
        <f t="shared" ca="1" si="99"/>
        <v/>
      </c>
    </row>
    <row r="3199" spans="2:3" x14ac:dyDescent="0.15">
      <c r="B3199" s="77" t="str">
        <f t="shared" ca="1" si="98"/>
        <v/>
      </c>
      <c r="C3199" s="11" t="str">
        <f t="shared" ca="1" si="99"/>
        <v/>
      </c>
    </row>
    <row r="3200" spans="2:3" x14ac:dyDescent="0.15">
      <c r="B3200" s="77" t="str">
        <f t="shared" ca="1" si="98"/>
        <v/>
      </c>
      <c r="C3200" s="11" t="str">
        <f t="shared" ca="1" si="99"/>
        <v/>
      </c>
    </row>
    <row r="3201" spans="2:3" x14ac:dyDescent="0.15">
      <c r="B3201" s="77" t="str">
        <f t="shared" ca="1" si="98"/>
        <v/>
      </c>
      <c r="C3201" s="11" t="str">
        <f t="shared" ca="1" si="99"/>
        <v/>
      </c>
    </row>
    <row r="3202" spans="2:3" x14ac:dyDescent="0.15">
      <c r="B3202" s="77" t="str">
        <f t="shared" ref="B3202:B3246" ca="1" si="100">IFERROR(VLOOKUP(TEXT(A3202,"00000000"),analysis_table_by_barcode,15,FALSE),"")</f>
        <v/>
      </c>
      <c r="C3202" s="11" t="str">
        <f t="shared" ref="C3202:C3246" ca="1" si="101">IF($B3202&lt;&gt;"", IF(VLOOKUP(B3202, final_to_ministry_result,2,FALSE)&lt;&gt;"",VLOOKUP(B3202, final_to_ministry_result,2,FALSE),""),"")</f>
        <v/>
      </c>
    </row>
    <row r="3203" spans="2:3" x14ac:dyDescent="0.15">
      <c r="B3203" s="77" t="str">
        <f t="shared" ca="1" si="100"/>
        <v/>
      </c>
      <c r="C3203" s="11" t="str">
        <f t="shared" ca="1" si="101"/>
        <v/>
      </c>
    </row>
    <row r="3204" spans="2:3" x14ac:dyDescent="0.15">
      <c r="B3204" s="77" t="str">
        <f t="shared" ca="1" si="100"/>
        <v/>
      </c>
      <c r="C3204" s="11" t="str">
        <f t="shared" ca="1" si="101"/>
        <v/>
      </c>
    </row>
    <row r="3205" spans="2:3" x14ac:dyDescent="0.15">
      <c r="B3205" s="77" t="str">
        <f t="shared" ca="1" si="100"/>
        <v/>
      </c>
      <c r="C3205" s="11" t="str">
        <f t="shared" ca="1" si="101"/>
        <v/>
      </c>
    </row>
    <row r="3206" spans="2:3" x14ac:dyDescent="0.15">
      <c r="B3206" s="77" t="str">
        <f t="shared" ca="1" si="100"/>
        <v/>
      </c>
      <c r="C3206" s="11" t="str">
        <f t="shared" ca="1" si="101"/>
        <v/>
      </c>
    </row>
    <row r="3207" spans="2:3" x14ac:dyDescent="0.15">
      <c r="B3207" s="77" t="str">
        <f t="shared" ca="1" si="100"/>
        <v/>
      </c>
      <c r="C3207" s="11" t="str">
        <f t="shared" ca="1" si="101"/>
        <v/>
      </c>
    </row>
    <row r="3208" spans="2:3" x14ac:dyDescent="0.15">
      <c r="B3208" s="77" t="str">
        <f t="shared" ca="1" si="100"/>
        <v/>
      </c>
      <c r="C3208" s="11" t="str">
        <f t="shared" ca="1" si="101"/>
        <v/>
      </c>
    </row>
    <row r="3209" spans="2:3" x14ac:dyDescent="0.15">
      <c r="B3209" s="77" t="str">
        <f t="shared" ca="1" si="100"/>
        <v/>
      </c>
      <c r="C3209" s="11" t="str">
        <f t="shared" ca="1" si="101"/>
        <v/>
      </c>
    </row>
    <row r="3210" spans="2:3" x14ac:dyDescent="0.15">
      <c r="B3210" s="77" t="str">
        <f t="shared" ca="1" si="100"/>
        <v/>
      </c>
      <c r="C3210" s="11" t="str">
        <f t="shared" ca="1" si="101"/>
        <v/>
      </c>
    </row>
    <row r="3211" spans="2:3" x14ac:dyDescent="0.15">
      <c r="B3211" s="77" t="str">
        <f t="shared" ca="1" si="100"/>
        <v/>
      </c>
      <c r="C3211" s="11" t="str">
        <f t="shared" ca="1" si="101"/>
        <v/>
      </c>
    </row>
    <row r="3212" spans="2:3" x14ac:dyDescent="0.15">
      <c r="B3212" s="77" t="str">
        <f t="shared" ca="1" si="100"/>
        <v/>
      </c>
      <c r="C3212" s="11" t="str">
        <f t="shared" ca="1" si="101"/>
        <v/>
      </c>
    </row>
    <row r="3213" spans="2:3" x14ac:dyDescent="0.15">
      <c r="B3213" s="77" t="str">
        <f t="shared" ca="1" si="100"/>
        <v/>
      </c>
      <c r="C3213" s="11" t="str">
        <f t="shared" ca="1" si="101"/>
        <v/>
      </c>
    </row>
    <row r="3214" spans="2:3" x14ac:dyDescent="0.15">
      <c r="B3214" s="77" t="str">
        <f t="shared" ca="1" si="100"/>
        <v/>
      </c>
      <c r="C3214" s="11" t="str">
        <f t="shared" ca="1" si="101"/>
        <v/>
      </c>
    </row>
    <row r="3215" spans="2:3" x14ac:dyDescent="0.15">
      <c r="B3215" s="77" t="str">
        <f t="shared" ca="1" si="100"/>
        <v/>
      </c>
      <c r="C3215" s="11" t="str">
        <f t="shared" ca="1" si="101"/>
        <v/>
      </c>
    </row>
    <row r="3216" spans="2:3" x14ac:dyDescent="0.15">
      <c r="B3216" s="77" t="str">
        <f t="shared" ca="1" si="100"/>
        <v/>
      </c>
      <c r="C3216" s="11" t="str">
        <f t="shared" ca="1" si="101"/>
        <v/>
      </c>
    </row>
    <row r="3217" spans="2:3" x14ac:dyDescent="0.15">
      <c r="B3217" s="77" t="str">
        <f t="shared" ca="1" si="100"/>
        <v/>
      </c>
      <c r="C3217" s="11" t="str">
        <f t="shared" ca="1" si="101"/>
        <v/>
      </c>
    </row>
    <row r="3218" spans="2:3" x14ac:dyDescent="0.15">
      <c r="B3218" s="77" t="str">
        <f t="shared" ca="1" si="100"/>
        <v/>
      </c>
      <c r="C3218" s="11" t="str">
        <f t="shared" ca="1" si="101"/>
        <v/>
      </c>
    </row>
    <row r="3219" spans="2:3" x14ac:dyDescent="0.15">
      <c r="B3219" s="77" t="str">
        <f t="shared" ca="1" si="100"/>
        <v/>
      </c>
      <c r="C3219" s="11" t="str">
        <f t="shared" ca="1" si="101"/>
        <v/>
      </c>
    </row>
    <row r="3220" spans="2:3" x14ac:dyDescent="0.15">
      <c r="B3220" s="77" t="str">
        <f t="shared" ca="1" si="100"/>
        <v/>
      </c>
      <c r="C3220" s="11" t="str">
        <f t="shared" ca="1" si="101"/>
        <v/>
      </c>
    </row>
    <row r="3221" spans="2:3" x14ac:dyDescent="0.15">
      <c r="B3221" s="77" t="str">
        <f t="shared" ca="1" si="100"/>
        <v/>
      </c>
      <c r="C3221" s="11" t="str">
        <f t="shared" ca="1" si="101"/>
        <v/>
      </c>
    </row>
    <row r="3222" spans="2:3" x14ac:dyDescent="0.15">
      <c r="B3222" s="77" t="str">
        <f t="shared" ca="1" si="100"/>
        <v/>
      </c>
      <c r="C3222" s="11" t="str">
        <f t="shared" ca="1" si="101"/>
        <v/>
      </c>
    </row>
    <row r="3223" spans="2:3" x14ac:dyDescent="0.15">
      <c r="B3223" s="77" t="str">
        <f t="shared" ca="1" si="100"/>
        <v/>
      </c>
      <c r="C3223" s="11" t="str">
        <f t="shared" ca="1" si="101"/>
        <v/>
      </c>
    </row>
    <row r="3224" spans="2:3" x14ac:dyDescent="0.15">
      <c r="B3224" s="77" t="str">
        <f t="shared" ca="1" si="100"/>
        <v/>
      </c>
      <c r="C3224" s="11" t="str">
        <f t="shared" ca="1" si="101"/>
        <v/>
      </c>
    </row>
    <row r="3225" spans="2:3" x14ac:dyDescent="0.15">
      <c r="B3225" s="77" t="str">
        <f t="shared" ca="1" si="100"/>
        <v/>
      </c>
      <c r="C3225" s="11" t="str">
        <f t="shared" ca="1" si="101"/>
        <v/>
      </c>
    </row>
    <row r="3226" spans="2:3" x14ac:dyDescent="0.15">
      <c r="B3226" s="77" t="str">
        <f t="shared" ca="1" si="100"/>
        <v/>
      </c>
      <c r="C3226" s="11" t="str">
        <f t="shared" ca="1" si="101"/>
        <v/>
      </c>
    </row>
    <row r="3227" spans="2:3" x14ac:dyDescent="0.15">
      <c r="B3227" s="77" t="str">
        <f t="shared" ca="1" si="100"/>
        <v/>
      </c>
      <c r="C3227" s="11" t="str">
        <f t="shared" ca="1" si="101"/>
        <v/>
      </c>
    </row>
    <row r="3228" spans="2:3" x14ac:dyDescent="0.15">
      <c r="B3228" s="77" t="str">
        <f t="shared" ca="1" si="100"/>
        <v/>
      </c>
      <c r="C3228" s="11" t="str">
        <f t="shared" ca="1" si="101"/>
        <v/>
      </c>
    </row>
    <row r="3229" spans="2:3" x14ac:dyDescent="0.15">
      <c r="B3229" s="77" t="str">
        <f t="shared" ca="1" si="100"/>
        <v/>
      </c>
      <c r="C3229" s="11" t="str">
        <f t="shared" ca="1" si="101"/>
        <v/>
      </c>
    </row>
    <row r="3230" spans="2:3" x14ac:dyDescent="0.15">
      <c r="B3230" s="77" t="str">
        <f t="shared" ca="1" si="100"/>
        <v/>
      </c>
      <c r="C3230" s="11" t="str">
        <f t="shared" ca="1" si="101"/>
        <v/>
      </c>
    </row>
    <row r="3231" spans="2:3" x14ac:dyDescent="0.15">
      <c r="B3231" s="77" t="str">
        <f t="shared" ca="1" si="100"/>
        <v/>
      </c>
      <c r="C3231" s="11" t="str">
        <f t="shared" ca="1" si="101"/>
        <v/>
      </c>
    </row>
    <row r="3232" spans="2:3" x14ac:dyDescent="0.15">
      <c r="B3232" s="77" t="str">
        <f t="shared" ca="1" si="100"/>
        <v/>
      </c>
      <c r="C3232" s="11" t="str">
        <f t="shared" ca="1" si="101"/>
        <v/>
      </c>
    </row>
    <row r="3233" spans="2:3" x14ac:dyDescent="0.15">
      <c r="B3233" s="77" t="str">
        <f t="shared" ca="1" si="100"/>
        <v/>
      </c>
      <c r="C3233" s="11" t="str">
        <f t="shared" ca="1" si="101"/>
        <v/>
      </c>
    </row>
    <row r="3234" spans="2:3" x14ac:dyDescent="0.15">
      <c r="B3234" s="77" t="str">
        <f t="shared" ca="1" si="100"/>
        <v/>
      </c>
      <c r="C3234" s="11" t="str">
        <f t="shared" ca="1" si="101"/>
        <v/>
      </c>
    </row>
    <row r="3235" spans="2:3" x14ac:dyDescent="0.15">
      <c r="B3235" s="77" t="str">
        <f t="shared" ca="1" si="100"/>
        <v/>
      </c>
      <c r="C3235" s="11" t="str">
        <f t="shared" ca="1" si="101"/>
        <v/>
      </c>
    </row>
    <row r="3236" spans="2:3" x14ac:dyDescent="0.15">
      <c r="B3236" s="77" t="str">
        <f t="shared" ca="1" si="100"/>
        <v/>
      </c>
      <c r="C3236" s="11" t="str">
        <f t="shared" ca="1" si="101"/>
        <v/>
      </c>
    </row>
    <row r="3237" spans="2:3" x14ac:dyDescent="0.15">
      <c r="B3237" s="77" t="str">
        <f t="shared" ca="1" si="100"/>
        <v/>
      </c>
      <c r="C3237" s="11" t="str">
        <f t="shared" ca="1" si="101"/>
        <v/>
      </c>
    </row>
    <row r="3238" spans="2:3" x14ac:dyDescent="0.15">
      <c r="B3238" s="77" t="str">
        <f t="shared" ca="1" si="100"/>
        <v/>
      </c>
      <c r="C3238" s="11" t="str">
        <f t="shared" ca="1" si="101"/>
        <v/>
      </c>
    </row>
    <row r="3239" spans="2:3" x14ac:dyDescent="0.15">
      <c r="B3239" s="77" t="str">
        <f t="shared" ca="1" si="100"/>
        <v/>
      </c>
      <c r="C3239" s="11" t="str">
        <f t="shared" ca="1" si="101"/>
        <v/>
      </c>
    </row>
    <row r="3240" spans="2:3" x14ac:dyDescent="0.15">
      <c r="B3240" s="77" t="str">
        <f t="shared" ca="1" si="100"/>
        <v/>
      </c>
      <c r="C3240" s="11" t="str">
        <f t="shared" ca="1" si="101"/>
        <v/>
      </c>
    </row>
    <row r="3241" spans="2:3" x14ac:dyDescent="0.15">
      <c r="B3241" s="77" t="str">
        <f t="shared" ca="1" si="100"/>
        <v/>
      </c>
      <c r="C3241" s="11" t="str">
        <f t="shared" ca="1" si="101"/>
        <v/>
      </c>
    </row>
    <row r="3242" spans="2:3" x14ac:dyDescent="0.15">
      <c r="B3242" s="77" t="str">
        <f t="shared" ca="1" si="100"/>
        <v/>
      </c>
      <c r="C3242" s="11" t="str">
        <f t="shared" ca="1" si="101"/>
        <v/>
      </c>
    </row>
    <row r="3243" spans="2:3" x14ac:dyDescent="0.15">
      <c r="B3243" s="77" t="str">
        <f t="shared" ca="1" si="100"/>
        <v/>
      </c>
      <c r="C3243" s="11" t="str">
        <f t="shared" ca="1" si="101"/>
        <v/>
      </c>
    </row>
    <row r="3244" spans="2:3" x14ac:dyDescent="0.15">
      <c r="B3244" s="77" t="str">
        <f t="shared" ca="1" si="100"/>
        <v/>
      </c>
      <c r="C3244" s="11" t="str">
        <f t="shared" ca="1" si="101"/>
        <v/>
      </c>
    </row>
    <row r="3245" spans="2:3" x14ac:dyDescent="0.15">
      <c r="B3245" s="77" t="str">
        <f t="shared" ca="1" si="100"/>
        <v/>
      </c>
      <c r="C3245" s="11" t="str">
        <f t="shared" ca="1" si="101"/>
        <v/>
      </c>
    </row>
    <row r="3246" spans="2:3" x14ac:dyDescent="0.15">
      <c r="B3246" s="77" t="str">
        <f t="shared" ca="1" si="100"/>
        <v/>
      </c>
      <c r="C3246" s="11" t="str">
        <f t="shared" ca="1" si="101"/>
        <v/>
      </c>
    </row>
  </sheetData>
  <sheetProtection sheet="1" objects="1" scenarios="1" sort="0"/>
  <conditionalFormatting sqref="A2089:A1048576 A1:A2">
    <cfRule type="duplicateValues" dxfId="3" priority="4"/>
  </conditionalFormatting>
  <conditionalFormatting sqref="A2089:A1048576 A1:A2">
    <cfRule type="duplicateValues" dxfId="2" priority="3"/>
  </conditionalFormatting>
  <conditionalFormatting sqref="A3:A2088">
    <cfRule type="duplicateValues" dxfId="1" priority="2"/>
  </conditionalFormatting>
  <conditionalFormatting sqref="A3:A2088">
    <cfRule type="duplicateValues" dxfId="0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F31"/>
  <sheetViews>
    <sheetView zoomScale="148" zoomScaleNormal="148" workbookViewId="0">
      <selection activeCell="E29" sqref="E29"/>
    </sheetView>
  </sheetViews>
  <sheetFormatPr defaultColWidth="9.33203125" defaultRowHeight="11.25" x14ac:dyDescent="0.15"/>
  <cols>
    <col min="1" max="1" width="14.5" style="83" customWidth="1"/>
    <col min="2" max="4" width="19.6640625" style="82" customWidth="1"/>
    <col min="5" max="5" width="12.6640625" style="82" customWidth="1"/>
    <col min="6" max="6" width="18.6640625" style="82" bestFit="1" customWidth="1"/>
    <col min="7" max="16384" width="9.33203125" style="83"/>
  </cols>
  <sheetData>
    <row r="1" spans="1:6" x14ac:dyDescent="0.15">
      <c r="A1" s="81" t="s">
        <v>88</v>
      </c>
    </row>
    <row r="3" spans="1:6" x14ac:dyDescent="0.15">
      <c r="A3" s="84" t="s">
        <v>84</v>
      </c>
      <c r="B3" s="85" t="s">
        <v>85</v>
      </c>
      <c r="C3" s="85" t="s">
        <v>3</v>
      </c>
      <c r="D3" s="85" t="s">
        <v>4</v>
      </c>
    </row>
    <row r="4" spans="1:6" x14ac:dyDescent="0.15">
      <c r="B4" s="86" t="s">
        <v>86</v>
      </c>
      <c r="C4" s="86" t="s">
        <v>76</v>
      </c>
      <c r="D4" s="86" t="s">
        <v>105</v>
      </c>
      <c r="E4" s="86" t="s">
        <v>87</v>
      </c>
      <c r="F4" s="86" t="s">
        <v>82</v>
      </c>
    </row>
    <row r="5" spans="1:6" x14ac:dyDescent="0.15">
      <c r="A5" s="83">
        <v>1</v>
      </c>
      <c r="B5" s="87" t="s">
        <v>77</v>
      </c>
      <c r="C5" s="87" t="s">
        <v>77</v>
      </c>
      <c r="D5" s="87" t="s">
        <v>77</v>
      </c>
      <c r="E5" s="87" t="s">
        <v>89</v>
      </c>
      <c r="F5" s="87" t="s">
        <v>78</v>
      </c>
    </row>
    <row r="6" spans="1:6" x14ac:dyDescent="0.15">
      <c r="A6" s="83">
        <v>2</v>
      </c>
      <c r="B6" s="87" t="s">
        <v>77</v>
      </c>
      <c r="C6" s="87" t="s">
        <v>77</v>
      </c>
      <c r="D6" s="87" t="s">
        <v>79</v>
      </c>
      <c r="E6" s="87" t="s">
        <v>90</v>
      </c>
      <c r="F6" s="87" t="s">
        <v>78</v>
      </c>
    </row>
    <row r="7" spans="1:6" x14ac:dyDescent="0.15">
      <c r="A7" s="83">
        <v>3</v>
      </c>
      <c r="B7" s="87" t="s">
        <v>79</v>
      </c>
      <c r="C7" s="87" t="s">
        <v>77</v>
      </c>
      <c r="D7" s="87" t="s">
        <v>77</v>
      </c>
      <c r="E7" s="87" t="s">
        <v>91</v>
      </c>
      <c r="F7" s="87" t="s">
        <v>78</v>
      </c>
    </row>
    <row r="8" spans="1:6" ht="9" customHeight="1" x14ac:dyDescent="0.15">
      <c r="A8" s="83">
        <v>4</v>
      </c>
      <c r="B8" s="87" t="s">
        <v>79</v>
      </c>
      <c r="C8" s="87" t="s">
        <v>77</v>
      </c>
      <c r="D8" s="87" t="s">
        <v>79</v>
      </c>
      <c r="E8" s="87" t="s">
        <v>92</v>
      </c>
      <c r="F8" s="87" t="s">
        <v>78</v>
      </c>
    </row>
    <row r="9" spans="1:6" x14ac:dyDescent="0.15">
      <c r="A9" s="83">
        <v>5</v>
      </c>
      <c r="B9" s="87" t="s">
        <v>77</v>
      </c>
      <c r="C9" s="87" t="s">
        <v>79</v>
      </c>
      <c r="D9" s="87" t="s">
        <v>77</v>
      </c>
      <c r="E9" s="87" t="s">
        <v>93</v>
      </c>
      <c r="F9" s="87" t="s">
        <v>80</v>
      </c>
    </row>
    <row r="10" spans="1:6" x14ac:dyDescent="0.15">
      <c r="A10" s="83">
        <v>6</v>
      </c>
      <c r="B10" s="87" t="s">
        <v>77</v>
      </c>
      <c r="C10" s="87" t="s">
        <v>79</v>
      </c>
      <c r="D10" s="87" t="s">
        <v>79</v>
      </c>
      <c r="E10" s="82" t="s">
        <v>95</v>
      </c>
      <c r="F10" s="87" t="s">
        <v>80</v>
      </c>
    </row>
    <row r="11" spans="1:6" x14ac:dyDescent="0.15">
      <c r="A11" s="83">
        <v>7</v>
      </c>
      <c r="B11" s="87" t="s">
        <v>79</v>
      </c>
      <c r="C11" s="87" t="s">
        <v>79</v>
      </c>
      <c r="D11" s="87" t="s">
        <v>77</v>
      </c>
      <c r="E11" s="87" t="s">
        <v>94</v>
      </c>
      <c r="F11" s="87" t="s">
        <v>80</v>
      </c>
    </row>
    <row r="12" spans="1:6" x14ac:dyDescent="0.15">
      <c r="A12" s="83">
        <v>8</v>
      </c>
      <c r="B12" s="87" t="s">
        <v>79</v>
      </c>
      <c r="C12" s="87" t="s">
        <v>79</v>
      </c>
      <c r="D12" s="87" t="s">
        <v>79</v>
      </c>
      <c r="E12" s="87" t="s">
        <v>96</v>
      </c>
      <c r="F12" s="87" t="s">
        <v>81</v>
      </c>
    </row>
    <row r="13" spans="1:6" x14ac:dyDescent="0.15">
      <c r="B13" s="83"/>
      <c r="C13" s="83"/>
      <c r="D13" s="83"/>
      <c r="E13" s="83"/>
    </row>
    <row r="14" spans="1:6" x14ac:dyDescent="0.15">
      <c r="B14" s="83"/>
      <c r="C14" s="83"/>
      <c r="D14" s="83"/>
      <c r="E14" s="83"/>
    </row>
    <row r="15" spans="1:6" x14ac:dyDescent="0.15">
      <c r="A15" s="83" t="s">
        <v>98</v>
      </c>
      <c r="B15" s="83"/>
      <c r="C15" s="83"/>
      <c r="D15" s="83"/>
      <c r="E15" s="83"/>
    </row>
    <row r="16" spans="1:6" x14ac:dyDescent="0.15">
      <c r="B16" s="83"/>
      <c r="C16" s="83"/>
      <c r="D16" s="83"/>
      <c r="E16" s="83"/>
    </row>
    <row r="17" spans="1:4" x14ac:dyDescent="0.15">
      <c r="A17" s="83" t="s">
        <v>97</v>
      </c>
    </row>
    <row r="18" spans="1:4" x14ac:dyDescent="0.15">
      <c r="B18" s="86" t="s">
        <v>86</v>
      </c>
      <c r="C18" s="86" t="s">
        <v>76</v>
      </c>
      <c r="D18" s="86" t="s">
        <v>105</v>
      </c>
    </row>
    <row r="19" spans="1:4" x14ac:dyDescent="0.15">
      <c r="A19" s="83">
        <v>1</v>
      </c>
      <c r="B19" s="82">
        <v>34</v>
      </c>
      <c r="C19" s="82">
        <v>34</v>
      </c>
      <c r="D19" s="82">
        <v>31</v>
      </c>
    </row>
    <row r="20" spans="1:4" x14ac:dyDescent="0.15">
      <c r="A20" s="83">
        <v>2</v>
      </c>
      <c r="B20" s="82">
        <v>34</v>
      </c>
      <c r="C20" s="82">
        <v>34</v>
      </c>
      <c r="D20" s="82">
        <v>33</v>
      </c>
    </row>
    <row r="21" spans="1:4" x14ac:dyDescent="0.15">
      <c r="A21" s="83">
        <v>3</v>
      </c>
      <c r="B21" s="82">
        <v>36</v>
      </c>
      <c r="C21" s="82">
        <v>34</v>
      </c>
      <c r="D21" s="82">
        <v>31</v>
      </c>
    </row>
    <row r="22" spans="1:4" x14ac:dyDescent="0.15">
      <c r="A22" s="83">
        <v>4</v>
      </c>
      <c r="B22" s="82">
        <v>36</v>
      </c>
      <c r="C22" s="82">
        <v>34</v>
      </c>
      <c r="D22" s="82">
        <v>33</v>
      </c>
    </row>
    <row r="23" spans="1:4" x14ac:dyDescent="0.15">
      <c r="A23" s="83">
        <v>5</v>
      </c>
      <c r="B23" s="82">
        <v>34</v>
      </c>
      <c r="C23" s="82">
        <v>36</v>
      </c>
      <c r="D23" s="82">
        <v>31</v>
      </c>
    </row>
    <row r="24" spans="1:4" x14ac:dyDescent="0.15">
      <c r="A24" s="83">
        <v>6</v>
      </c>
      <c r="B24" s="82">
        <v>34</v>
      </c>
      <c r="C24" s="82">
        <v>36</v>
      </c>
      <c r="D24" s="82">
        <v>33</v>
      </c>
    </row>
    <row r="25" spans="1:4" x14ac:dyDescent="0.15">
      <c r="A25" s="83">
        <v>7</v>
      </c>
      <c r="B25" s="82">
        <v>36</v>
      </c>
      <c r="C25" s="82">
        <v>36</v>
      </c>
      <c r="D25" s="82">
        <v>31</v>
      </c>
    </row>
    <row r="26" spans="1:4" x14ac:dyDescent="0.15">
      <c r="A26" s="83">
        <v>8</v>
      </c>
      <c r="B26" s="82">
        <v>36</v>
      </c>
      <c r="C26" s="82">
        <v>36</v>
      </c>
      <c r="D26" s="82">
        <v>33</v>
      </c>
    </row>
    <row r="28" spans="1:4" ht="12" thickBot="1" x14ac:dyDescent="0.2">
      <c r="A28" s="81" t="s">
        <v>99</v>
      </c>
    </row>
    <row r="29" spans="1:4" x14ac:dyDescent="0.15">
      <c r="A29" s="88" t="s">
        <v>102</v>
      </c>
      <c r="B29" s="89" t="s">
        <v>104</v>
      </c>
      <c r="C29" s="90" t="s">
        <v>103</v>
      </c>
    </row>
    <row r="30" spans="1:4" x14ac:dyDescent="0.15">
      <c r="A30" s="91" t="s">
        <v>108</v>
      </c>
      <c r="B30" s="82" t="s">
        <v>101</v>
      </c>
      <c r="C30" s="92" t="s">
        <v>106</v>
      </c>
    </row>
    <row r="31" spans="1:4" ht="12" thickBot="1" x14ac:dyDescent="0.2">
      <c r="A31" s="93" t="s">
        <v>107</v>
      </c>
      <c r="B31" s="94" t="s">
        <v>100</v>
      </c>
      <c r="C31" s="95" t="s">
        <v>83</v>
      </c>
    </row>
  </sheetData>
  <sheetProtection sheet="1" objects="1" scenarios="1"/>
  <autoFilter ref="B4:F1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27</vt:i4>
      </vt:variant>
    </vt:vector>
  </HeadingPairs>
  <TitlesOfParts>
    <vt:vector size="43" baseType="lpstr">
      <vt:lpstr>Layout piastra</vt:lpstr>
      <vt:lpstr>Curve FAM</vt:lpstr>
      <vt:lpstr>Curve HEX</vt:lpstr>
      <vt:lpstr>Curve Cy5</vt:lpstr>
      <vt:lpstr>Risultato Biorad</vt:lpstr>
      <vt:lpstr>Controllo input</vt:lpstr>
      <vt:lpstr>Valutazione</vt:lpstr>
      <vt:lpstr>elaboration</vt:lpstr>
      <vt:lpstr>plotting</vt:lpstr>
      <vt:lpstr>analysis</vt:lpstr>
      <vt:lpstr>parameters</vt:lpstr>
      <vt:lpstr>Controllo output</vt:lpstr>
      <vt:lpstr>Campioni da ripetere</vt:lpstr>
      <vt:lpstr>Refertazione</vt:lpstr>
      <vt:lpstr>Per Ministero</vt:lpstr>
      <vt:lpstr>Legenda</vt:lpstr>
      <vt:lpstr>analysis_final_check</vt:lpstr>
      <vt:lpstr>analysis_table_alias</vt:lpstr>
      <vt:lpstr>analysis_table_by_barcode</vt:lpstr>
      <vt:lpstr>analysis_table_by_well_with_zero</vt:lpstr>
      <vt:lpstr>auto_result</vt:lpstr>
      <vt:lpstr>auto_to_user_result_map</vt:lpstr>
      <vt:lpstr>auto_user_to_final_control</vt:lpstr>
      <vt:lpstr>auto_user_to_final_map</vt:lpstr>
      <vt:lpstr>column_to_batch</vt:lpstr>
      <vt:lpstr>control_well_results</vt:lpstr>
      <vt:lpstr>control_wells</vt:lpstr>
      <vt:lpstr>exam_result_to_message</vt:lpstr>
      <vt:lpstr>final_result</vt:lpstr>
      <vt:lpstr>final_to_ministry_result</vt:lpstr>
      <vt:lpstr>fluorophore_checks</vt:lpstr>
      <vt:lpstr>fluorophore_thresholds</vt:lpstr>
      <vt:lpstr>fluorophore_values</vt:lpstr>
      <vt:lpstr>is_result_to_send</vt:lpstr>
      <vt:lpstr>result_symbols</vt:lpstr>
      <vt:lpstr>result_symbols_auto</vt:lpstr>
      <vt:lpstr>risultati_referto_mappa</vt:lpstr>
      <vt:lpstr>risultati_referto_valori</vt:lpstr>
      <vt:lpstr>test_auto_results</vt:lpstr>
      <vt:lpstr>user_selected_well</vt:lpstr>
      <vt:lpstr>user_selected_well_pos</vt:lpstr>
      <vt:lpstr>user_to_exam_result_prefix</vt:lpstr>
      <vt:lpstr>well_all_names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</dc:creator>
  <cp:lastModifiedBy>Tarcisio Fedrizzi</cp:lastModifiedBy>
  <cp:lastPrinted>2020-05-05T15:18:05Z</cp:lastPrinted>
  <dcterms:created xsi:type="dcterms:W3CDTF">2020-03-29T18:07:15Z</dcterms:created>
  <dcterms:modified xsi:type="dcterms:W3CDTF">2020-05-10T14:00:28Z</dcterms:modified>
</cp:coreProperties>
</file>